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ME" sheetId="1" r:id="rId4"/>
    <sheet state="visible" name="Dashboard" sheetId="2" r:id="rId5"/>
    <sheet state="visible" name="All contacts" sheetId="3" r:id="rId6"/>
    <sheet state="visible" name="Outreach Angles" sheetId="4" r:id="rId7"/>
    <sheet state="visible" name="Dropdowns" sheetId="5" r:id="rId8"/>
    <sheet state="visible" name="Pain Dashboard" sheetId="6" r:id="rId9"/>
    <sheet state="visible" name="Failure Stats" sheetId="7" r:id="rId10"/>
    <sheet state="visible" name="Pain Methodology" sheetId="8" r:id="rId11"/>
    <sheet state="visible" name="Top Outreach Batch" sheetId="9" r:id="rId12"/>
    <sheet state="visible" name="Contact README" sheetId="10" r:id="rId13"/>
    <sheet state="visible" name="Linkedin posts" sheetId="11" r:id="rId14"/>
  </sheets>
  <definedNames>
    <definedName hidden="1" localSheetId="2" name="_xlnm._FilterDatabase">'All contacts'!$A$1:$V$786</definedName>
  </definedNames>
  <calcPr/>
  <extLst>
    <ext uri="GoogleSheetsCustomDataVersion2">
      <go:sheetsCustomData xmlns:go="http://customooxmlschemas.google.com/" r:id="rId15" roundtripDataChecksum="fAuUx74KGnskwWltBY1zggHslA5BgUwQ/Ff4x/DJr4E="/>
    </ext>
  </extLst>
</workbook>
</file>

<file path=xl/sharedStrings.xml><?xml version="1.0" encoding="utf-8"?>
<sst xmlns="http://schemas.openxmlformats.org/spreadsheetml/2006/main" count="10272" uniqueCount="2752">
  <si>
    <t>Actuated Minds Target CRM</t>
  </si>
  <si>
    <t>Actuated Minds Contact Outreach Dashboard</t>
  </si>
  <si>
    <t>Purpose</t>
  </si>
  <si>
    <t>Category</t>
  </si>
  <si>
    <t>Prioritised outreach list for VCs, angels, accelerators, venture studios, CVCs, public programmes and ecosystem organisations relevant to technical maturity reviews in robotics, automation, mechatronics and physical AI.</t>
  </si>
  <si>
    <t>Count</t>
  </si>
  <si>
    <t>How to use</t>
  </si>
  <si>
    <t>Country / Market</t>
  </si>
  <si>
    <t>Start with Priority A. Aim for 30 high-quality contacts per week. Do not send the due diligence spreadsheet; send the landing page and offer a short call or Lite Review pilot.</t>
  </si>
  <si>
    <t>Priority A</t>
  </si>
  <si>
    <t>Total contacts</t>
  </si>
  <si>
    <t>Highest fit / fastest path: specialist deeptech, robotics, hardware, accelerators, venture studios, CVCs and relevant public programmes.</t>
  </si>
  <si>
    <t>Priority B</t>
  </si>
  <si>
    <t>Good fit but broader, slower or less directly aligned. Contact after A or in parallel when there is a strong angle.</t>
  </si>
  <si>
    <t>Priority C</t>
  </si>
  <si>
    <t>Long-shot, ecosystem, public bodies, big funds or less direct fit. Useful for credibility and network building, not immediate sales.</t>
  </si>
  <si>
    <t>Recommended first offer</t>
  </si>
  <si>
    <t>Lite Technical Maturity Review: deck/demo/docs review, one technical interview, maturity/risk matrix, short report and debrief.</t>
  </si>
  <si>
    <t>Suggested first 30 days</t>
  </si>
  <si>
    <t>Contact 100 targets, aim for 15 conversations, 3 proposals and 1-2 paid pilots.</t>
  </si>
  <si>
    <t>Created</t>
  </si>
  <si>
    <t>2026-07-04</t>
  </si>
  <si>
    <t>Contact master</t>
  </si>
  <si>
    <t>Use All contacts for day-to-day outreach tracking. All Targets and Contact Discovery are preserved as source sheets.</t>
  </si>
  <si>
    <t>Pain Map Update</t>
  </si>
  <si>
    <t>Segment</t>
  </si>
  <si>
    <t>Added proxy exposure, pain score, manual failure research fields, pain dashboard, global failure benchmarks and methodology.</t>
  </si>
  <si>
    <t>Important caveat</t>
  </si>
  <si>
    <t>The pain score is not a verified count of failed investments. It is a prioritisation proxy until row-by-row research is completed.</t>
  </si>
  <si>
    <t>Sales use</t>
  </si>
  <si>
    <t>Use portfolio exposure and market-level failure data to justify the review; do not accuse investors of failed investments.</t>
  </si>
  <si>
    <t>Accelerator</t>
  </si>
  <si>
    <t>Next step</t>
  </si>
  <si>
    <t>Manually research the top 30 Priority A targets before sending highly personalised outreach.</t>
  </si>
  <si>
    <t>Best opening angle</t>
  </si>
  <si>
    <t>Updated</t>
  </si>
  <si>
    <t>What to offer</t>
  </si>
  <si>
    <t>What not to say</t>
  </si>
  <si>
    <t>Follow-up CTA</t>
  </si>
  <si>
    <t>Accelerator / Venture Studio</t>
  </si>
  <si>
    <t>I help technical founders and programme teams identify maturity gaps before demo day, fundraising or pilots.</t>
  </si>
  <si>
    <t>Priority</t>
  </si>
  <si>
    <t>Cohort office hours, Lite Reviews, readiness workshop.</t>
  </si>
  <si>
    <t>Do not pitch heavy VC due diligence first; start with practical founder support.</t>
  </si>
  <si>
    <t>Would it be useful to run a lightweight technical readiness session for one or two teams?</t>
  </si>
  <si>
    <t>Micro-VC / Early-stage VC</t>
  </si>
  <si>
    <t>United Kingdom</t>
  </si>
  <si>
    <t>I help investors assess whether robotics/automation/physical AI teams have credible technical evidence and roadmap realism.</t>
  </si>
  <si>
    <t>Lite Review on one current or recent deal.</t>
  </si>
  <si>
    <t>Do not say you replace their investment judgement.</t>
  </si>
  <si>
    <t>Would a fixed-scope review on one technical company be a low-risk way to test this?</t>
  </si>
  <si>
    <t>CVC / Corporate Innovation</t>
  </si>
  <si>
    <t>I assess whether the system is ready for a pilot, deployment or strategic partnership, not just whether the demo is impressive.</t>
  </si>
  <si>
    <t>Standard or Deep Review focused on deployment readiness.</t>
  </si>
  <si>
    <t>Do not lead with cheap beta pricing; sell risk reduction.</t>
  </si>
  <si>
    <t>Do you have technical startups where pilot risk is hard to assess from the outside?</t>
  </si>
  <si>
    <t>Angel Network</t>
  </si>
  <si>
    <t>I help angels ask better technical questions before committing capital to robotics, hardware and deeptech startups.</t>
  </si>
  <si>
    <t>Short workshop, office hours, or Lite Review for a syndicate deal.</t>
  </si>
  <si>
    <t>Priority A contacts</t>
  </si>
  <si>
    <t>Do not overcomplicate; angels need concise risk translation.</t>
  </si>
  <si>
    <t>Contact Name</t>
  </si>
  <si>
    <t>Would your members benefit from a practical session on technical red flags in robotics/deeptech startups?</t>
  </si>
  <si>
    <t>Public / Defence Programme</t>
  </si>
  <si>
    <t>I help assess technical maturity, field readiness and validation gaps for dual-use robotics and automation startups.</t>
  </si>
  <si>
    <t>Deployment readiness review, mentor session, technical panel support.</t>
  </si>
  <si>
    <t>Avoid sounding like investment advisor; focus on evidence, maturity and readiness.</t>
  </si>
  <si>
    <t>Region</t>
  </si>
  <si>
    <t>Is there a programme where external technical maturity review would improve selection or support?</t>
  </si>
  <si>
    <t>Large Tier-1 VC</t>
  </si>
  <si>
    <t>Accelerator / Corporate innovation</t>
  </si>
  <si>
    <t>I specialise in the physical systems part of technical risk: hardware/software integration, robotics, deployment and roadmap realism.</t>
  </si>
  <si>
    <t>Organisation</t>
  </si>
  <si>
    <t>Very targeted technical expert support, not generic diligence.</t>
  </si>
  <si>
    <t>Do not sound like you need them as a client; use this for network/credibility.</t>
  </si>
  <si>
    <t>Would it be useful to connect for future physical AI / robotics deals where you need a specialist external view?</t>
  </si>
  <si>
    <t>Relevant Themes</t>
  </si>
  <si>
    <t>Germany</t>
  </si>
  <si>
    <t>Typical Stage / Use Case</t>
  </si>
  <si>
    <t>Priority B contacts</t>
  </si>
  <si>
    <t>Why Contact</t>
  </si>
  <si>
    <t>Website</t>
  </si>
  <si>
    <t>Best Buyer Persona</t>
  </si>
  <si>
    <t>Accelerator / Ecosystem</t>
  </si>
  <si>
    <t>Role / Function</t>
  </si>
  <si>
    <t>Why This Contact</t>
  </si>
  <si>
    <t>Spain</t>
  </si>
  <si>
    <t>LinkedIn Search URL</t>
  </si>
  <si>
    <t>Priority C contacts</t>
  </si>
  <si>
    <t xml:space="preserve">  Connection sent</t>
  </si>
  <si>
    <t>Innconectable</t>
  </si>
  <si>
    <t>Longer message sent</t>
  </si>
  <si>
    <t>Accelerator / Grant</t>
  </si>
  <si>
    <t>Confidence</t>
  </si>
  <si>
    <t>Source / Verification URL</t>
  </si>
  <si>
    <t>Suggested Outreach Angle</t>
  </si>
  <si>
    <t>Last Contacted</t>
  </si>
  <si>
    <t>France</t>
  </si>
  <si>
    <t>Next Follow-up</t>
  </si>
  <si>
    <t>Not contacted</t>
  </si>
  <si>
    <t>Outcome message</t>
  </si>
  <si>
    <t>Follow up</t>
  </si>
  <si>
    <t>Accelerator / Innovation hub</t>
  </si>
  <si>
    <t>Response after follow up</t>
  </si>
  <si>
    <t>Status</t>
  </si>
  <si>
    <t>Reason</t>
  </si>
  <si>
    <t>Netherlands</t>
  </si>
  <si>
    <t>Future opportunity</t>
  </si>
  <si>
    <t>Next action</t>
  </si>
  <si>
    <t>Added as contact</t>
  </si>
  <si>
    <t>Nurture</t>
  </si>
  <si>
    <t>Contact</t>
  </si>
  <si>
    <t>Accelerator / Investor</t>
  </si>
  <si>
    <t>Julia Ross</t>
  </si>
  <si>
    <t>ex-Zinc VC</t>
  </si>
  <si>
    <t>VC</t>
  </si>
  <si>
    <t>Belgium</t>
  </si>
  <si>
    <t xml:space="preserve">General </t>
  </si>
  <si>
    <t>Connection completed</t>
  </si>
  <si>
    <t>Seed to growth</t>
  </si>
  <si>
    <t>She was a contact with loads of experience working with entrepeneurs</t>
  </si>
  <si>
    <t>Accelerator / Public Programme</t>
  </si>
  <si>
    <t>A</t>
  </si>
  <si>
    <t>B</t>
  </si>
  <si>
    <t>C</t>
  </si>
  <si>
    <t>https://www.linkedin.com/in/julia-ross-ab749520/</t>
  </si>
  <si>
    <t>Contacted</t>
  </si>
  <si>
    <t>Follow-up sent</t>
  </si>
  <si>
    <t>Pan-European</t>
  </si>
  <si>
    <t>Call booked</t>
  </si>
  <si>
    <t>Proposal sent</t>
  </si>
  <si>
    <t>Won</t>
  </si>
  <si>
    <t>Lost</t>
  </si>
  <si>
    <t>No fit</t>
  </si>
  <si>
    <t>CVC</t>
  </si>
  <si>
    <t>Venture Studio</t>
  </si>
  <si>
    <t>Accelerator / University</t>
  </si>
  <si>
    <t>Public Programme</t>
  </si>
  <si>
    <t>Ecosystem / Event</t>
  </si>
  <si>
    <t>Investor Network</t>
  </si>
  <si>
    <t>United States</t>
  </si>
  <si>
    <t>Accelerator / VC</t>
  </si>
  <si>
    <t>Switzerland</t>
  </si>
  <si>
    <t>Stuart Brown</t>
  </si>
  <si>
    <t>Investment Partner | Early-Stage Technology &amp; Industrial Innovation</t>
  </si>
  <si>
    <t xml:space="preserve"> Early-Stage Technology &amp; Industrial Innovation</t>
  </si>
  <si>
    <t>Accelerator / Venture Builder</t>
  </si>
  <si>
    <t>He was in my contact list</t>
  </si>
  <si>
    <t>Austria</t>
  </si>
  <si>
    <t>https://www.linkedin.com/in/stuartbrown01/</t>
  </si>
  <si>
    <t>Finland</t>
  </si>
  <si>
    <t>Angel Network / Ecosystem</t>
  </si>
  <si>
    <t>Sweden</t>
  </si>
  <si>
    <t>Investor Technical Pain Map</t>
  </si>
  <si>
    <t>Angel Network / Investor</t>
  </si>
  <si>
    <t>Denmark</t>
  </si>
  <si>
    <t>Metric</t>
  </si>
  <si>
    <t>Angel Network / VC</t>
  </si>
  <si>
    <t>Value</t>
  </si>
  <si>
    <t>Contact tracking summary</t>
  </si>
  <si>
    <t>Italy</t>
  </si>
  <si>
    <t>Dan Ballin</t>
  </si>
  <si>
    <t>Total targets</t>
  </si>
  <si>
    <t>Ideas Crucible</t>
  </si>
  <si>
    <t>Deeptech general</t>
  </si>
  <si>
    <t>Portugal</t>
  </si>
  <si>
    <t>CVC / Accelerator</t>
  </si>
  <si>
    <t>Global</t>
  </si>
  <si>
    <t>https://www.linkedin.com/in/danballin/</t>
  </si>
  <si>
    <t>CVC / VC</t>
  </si>
  <si>
    <t>Ecosystem</t>
  </si>
  <si>
    <t>High exposure proxy</t>
  </si>
  <si>
    <t>Thanks Enrique, useful to keep in mind.  Dan
DD people are always good to know</t>
  </si>
  <si>
    <t>Identified contacts</t>
  </si>
  <si>
    <t>Ecosystem / Investor network</t>
  </si>
  <si>
    <t>Medium exposure proxy</t>
  </si>
  <si>
    <t>Dominic Keen</t>
  </si>
  <si>
    <t>Britbots, Star Bots Fund &amp; National Productivity Campaigner</t>
  </si>
  <si>
    <t>Investor</t>
  </si>
  <si>
    <t>Robotics</t>
  </si>
  <si>
    <t>Global Failure / Loss Benchmarks for Early-Stage Technical Startups</t>
  </si>
  <si>
    <t>He was in my contact list. And relevant investor</t>
  </si>
  <si>
    <t>Public Funding</t>
  </si>
  <si>
    <t>Low exposure proxy</t>
  </si>
  <si>
    <t>Benchmark</t>
  </si>
  <si>
    <t>Value / Range</t>
  </si>
  <si>
    <t>Interpretation for Actuated Minds</t>
  </si>
  <si>
    <t>Source URL</t>
  </si>
  <si>
    <t>https://www.linkedin.com/in/dominickeen/</t>
  </si>
  <si>
    <t>Caveat</t>
  </si>
  <si>
    <t>Venture-backed startup cash-return failure</t>
  </si>
  <si>
    <t>Connections completed</t>
  </si>
  <si>
    <t>Up to 75% never return cash; 30–40% liquidate assets</t>
  </si>
  <si>
    <t>A large share of VC-backed startups fail economically; technical review is cheap relative to downside.</t>
  </si>
  <si>
    <t>https://www.hbs.edu/news/Pages/item.aspx?num=214</t>
  </si>
  <si>
    <t>Public VC</t>
  </si>
  <si>
    <t>Older HBS-reported research; definition of failure matters.</t>
  </si>
  <si>
    <t>European VC investment weak/failure outcome</t>
  </si>
  <si>
    <t>45% fail or do not return above 2x; 28% exceed expectations; 9% return above 10x</t>
  </si>
  <si>
    <t>Average pain score</t>
  </si>
  <si>
    <t>European VC returns are power-law distributed; many investments underperform.</t>
  </si>
  <si>
    <t>https://www.vlerick.com/en/insights/45-per-cent-of-european-venture-capital-investments-fail-or-do-not-secure-high-returns/</t>
  </si>
  <si>
    <t>Not specific to robotics/hardware; useful baseline for European investors.</t>
  </si>
  <si>
    <t>Public VC / Programme</t>
  </si>
  <si>
    <t>Deep tech progression failure</t>
  </si>
  <si>
    <t>~95% seed-to-Series A; ~80% Series A-to-B; ~50% Series B-to-C</t>
  </si>
  <si>
    <t>Deep tech has higher stage-to-stage failure risk and longer funding cycles; strong case for technical maturity assessment.</t>
  </si>
  <si>
    <t>https://web-assets.bcg.com/a8/e4/d3f2698b436aa0f23aed168cd2ef/bcg-an-investors-guide-to-deep-tech-nov-2023-1.pdf</t>
  </si>
  <si>
    <t>BCG defines failure as ceasing operation; small deeptech dataset caveat.</t>
  </si>
  <si>
    <t>Hardware startup failure causes</t>
  </si>
  <si>
    <t>Priority A targets with pain score ≥4</t>
  </si>
  <si>
    <t>CB Insights analysed 382 failed hardware startups; top issues include lack of demand, overspending and waning interest after crowdfunding</t>
  </si>
  <si>
    <t>Physical products fail for a combination of market, capital and execution reasons; demo success is not enough.</t>
  </si>
  <si>
    <t>Regional Development / VC</t>
  </si>
  <si>
    <t>https://www.wired.com/story/why-do-startups-fail-because-hardware-is-hard/</t>
  </si>
  <si>
    <t>Consumer hardware-heavy evidence, but relevant to physical product risk.</t>
  </si>
  <si>
    <t>Working assumption for Actuated Minds sales</t>
  </si>
  <si>
    <t>30–50% complete loss risk; 45–75% weak/no-return risk; higher for early deeptech/physical tech</t>
  </si>
  <si>
    <t>Use as an internal framing for why £1k–£5k technical review is rational before a €250k–€2M+ investment.</t>
  </si>
  <si>
    <t>Derived from sources above</t>
  </si>
  <si>
    <t>Do not present as a precise measured robotics failure rate.</t>
  </si>
  <si>
    <t>Priority B targets with pain score ≥4</t>
  </si>
  <si>
    <t>Jack Pearson</t>
  </si>
  <si>
    <t>Commercial takeaway</t>
  </si>
  <si>
    <t>Do not attack investors with their failed portfolio companies. Use failure data to justify the market-level pain.</t>
  </si>
  <si>
    <t>RoboStrategy</t>
  </si>
  <si>
    <t>Targets needing manual failure research</t>
  </si>
  <si>
    <t>VC / Accelerator</t>
  </si>
  <si>
    <t>Best sales argument: in robotics, automation and physical AI, a compelling demo can hide deployment, integration, reliability, safety and roadmap risks.</t>
  </si>
  <si>
    <t>He was in my contact list. He sent me a message some time ago about my blog</t>
  </si>
  <si>
    <t>For a €500k investment, spending €1k–€5k on independent technical advice is a small cost compared with a failed investment or failed pilot.</t>
  </si>
  <si>
    <t>How to use this pain map</t>
  </si>
  <si>
    <t>https://robostrategy.co/</t>
  </si>
  <si>
    <t>Use target-specific failure examples only when they are public, verified and phrased tactfully.</t>
  </si>
  <si>
    <t>VC / Angel-style fund</t>
  </si>
  <si>
    <t>Use the pain score to prioritise outreach, not to accuse investors of failed investments.</t>
  </si>
  <si>
    <t>The CRM pain score is a proxy until each target is manually researched.</t>
  </si>
  <si>
    <t>https://www.linkedin.com/in/jlp/</t>
  </si>
  <si>
    <t>A high score means likely exposure to technically complex physical/deeptech startups where deployment and execution risk matter.</t>
  </si>
  <si>
    <t>VC / CVC</t>
  </si>
  <si>
    <t>The CRM now includes manual fields for verified weak outcomes and evidence URLs. Fill those only after desk research.</t>
  </si>
  <si>
    <t>VC / Community</t>
  </si>
  <si>
    <t>Do not write: 'your portfolio failed in robotics'.</t>
  </si>
  <si>
    <t>Write instead: 'I noticed you have exposure to robotics / automation / physical AI companies; I help investors assess demo-to-deployment risk.'</t>
  </si>
  <si>
    <t>VC / Company Builder</t>
  </si>
  <si>
    <t>For the first campaign, manually research the top 30 Priority A targets before outreach.</t>
  </si>
  <si>
    <t>VC / Investor network</t>
  </si>
  <si>
    <t>Treat the global failure statistics as market context, not target-specific evidence.</t>
  </si>
  <si>
    <t>VC / Venture Builder</t>
  </si>
  <si>
    <t>Shen Li</t>
  </si>
  <si>
    <t>US</t>
  </si>
  <si>
    <t>Venture Builder / Accelerator</t>
  </si>
  <si>
    <t>Aleph Investment Management</t>
  </si>
  <si>
    <t>Venture Builder / Investor</t>
  </si>
  <si>
    <t>I provided advice to him previously through Alpha Sights or similar about technology at ocado</t>
  </si>
  <si>
    <t>https://www.linkedin.com/in/shenli311/</t>
  </si>
  <si>
    <t>Venture Builder / Tech transfer</t>
  </si>
  <si>
    <t>Venture Builder / VC</t>
  </si>
  <si>
    <t>Venture Studio / Accelerator</t>
  </si>
  <si>
    <t>Hi Enrique, great to reconnect.  I think the services make a lot of sense.  Happy to hop on the phone.  Maybe next wednesday 3pm UKT ok?  Talk soon, shen</t>
  </si>
  <si>
    <t>Josh Abbott</t>
  </si>
  <si>
    <t>JTA Ventures</t>
  </si>
  <si>
    <t>intersection of family offices, venture capital, emerging markets, and the creator economy, with a core focus on strategic advisory and high-level dealmaking.</t>
  </si>
  <si>
    <t xml:space="preserve">He was in my contact list. He sent me a message some time ago </t>
  </si>
  <si>
    <t>https://www.linkedin.com/in/joshabbott20/</t>
  </si>
  <si>
    <t>Katharine Kirkbride</t>
  </si>
  <si>
    <t xml:space="preserve">Angel investor </t>
  </si>
  <si>
    <t>Pain Score Methodology</t>
  </si>
  <si>
    <t>Field</t>
  </si>
  <si>
    <t>Meaning</t>
  </si>
  <si>
    <t>How to fill</t>
  </si>
  <si>
    <t>Use in outreach</t>
  </si>
  <si>
    <t>Portfolio Exposure Proxy</t>
  </si>
  <si>
    <t>Heuristic based on CRM keywords: robotics, automation, physical AI, hardware, mechatronics, manufacturing, autonomy, defence, industrial, spinouts, engineering.</t>
  </si>
  <si>
    <t>Auto-filled. Manually override after research.</t>
  </si>
  <si>
    <t>Use to prioritise who deserves desk research first.</t>
  </si>
  <si>
    <t>Technical Risk Pain Score</t>
  </si>
  <si>
    <t>1–5 proxy. High-scoring targets are more likely to care about technical maturity and deployment risk.</t>
  </si>
  <si>
    <t>Auto-filled from priority and exposure proxy.</t>
  </si>
  <si>
    <t>https://www.linkedin.com/in/katharinekirkbride/</t>
  </si>
  <si>
    <t>Contact 4–5 scores first.</t>
  </si>
  <si>
    <t>Evidence Confidence</t>
  </si>
  <si>
    <t>How confident we are in the pain signal.</t>
  </si>
  <si>
    <t>Starts Low. Upgrade to Medium/High only after portfolio research.</t>
  </si>
  <si>
    <t>Never overclaim when confidence is low.</t>
  </si>
  <si>
    <t>Verified Weak/Failed Investments Count</t>
  </si>
  <si>
    <t>Manual count of public weak outcomes: shutdowns, liquidations, zombies, failed pilots, stale portfolios.</t>
  </si>
  <si>
    <t>Fill only when verified from public sources.</t>
  </si>
  <si>
    <t>Do not mention directly unless tactically useful and polite.</t>
  </si>
  <si>
    <t>Known Shutdowns / Weak Outcomes</t>
  </si>
  <si>
    <t>Names and short notes of relevant portfolio companies with public evidence.</t>
  </si>
  <si>
    <t>Add source-backed facts only.</t>
  </si>
  <si>
    <t>Use internally to understand pain; rarely use bluntly in outreach.</t>
  </si>
  <si>
    <t>Stale Portfolio Signals</t>
  </si>
  <si>
    <t>No funding for 24–36 months, inactive website, founder moved on, falling headcount, no product progress.</t>
  </si>
  <si>
    <t>Manual desk research.</t>
  </si>
  <si>
    <t>Use as a reason to personalise message around execution risk.</t>
  </si>
  <si>
    <t>Pain Signal Source Links</t>
  </si>
  <si>
    <t>URLs supporting the above.</t>
  </si>
  <si>
    <t>Add one URL per item where possible.</t>
  </si>
  <si>
    <t>Protects credibility.</t>
  </si>
  <si>
    <t>Outreach Hook</t>
  </si>
  <si>
    <t>Safe wording for first message.</t>
  </si>
  <si>
    <t>Auto-filled; personalise after research.</t>
  </si>
  <si>
    <t>Use exposure, not accusation.</t>
  </si>
  <si>
    <t>Shiri Mosenzon Erez</t>
  </si>
  <si>
    <t>Ex CPO Ocado</t>
  </si>
  <si>
    <t>Batch Rank</t>
  </si>
  <si>
    <t>Country</t>
  </si>
  <si>
    <t>https://www.linkedin.com/in/shiri-mosenzon/</t>
  </si>
  <si>
    <t>LinkedIn Search</t>
  </si>
  <si>
    <t>Suggested Angle</t>
  </si>
  <si>
    <t>Notes</t>
  </si>
  <si>
    <t>Wayra Spain</t>
  </si>
  <si>
    <t>Paloma Castellano</t>
  </si>
  <si>
    <t>Director, Wayra Spain</t>
  </si>
  <si>
    <t>https://www.linkedin.com/search/results/people/?keywords=Paloma%20Castellano%20Wayra%20Spain%20LinkedIn</t>
  </si>
  <si>
    <t>Strong first contact for CVC/accelerator angle.</t>
  </si>
  <si>
    <t>Ask whether they ever need independent technical maturity reviews for ai, iot, industrial digitalisation, startups startups.</t>
  </si>
  <si>
    <t>Medium</t>
  </si>
  <si>
    <t>Verify profile before outreach.</t>
  </si>
  <si>
    <t>Deeptech Labs</t>
  </si>
  <si>
    <t>Miles Kirby</t>
  </si>
  <si>
    <t>CEO / Managing Director</t>
  </si>
  <si>
    <t>https://www.linkedin.com/search/results/people/?keywords=Miles%20Kirby%20Deeptech%20Labs%20LinkedIn</t>
  </si>
  <si>
    <t>Strong accelerator/deeptech contact; relevant buyer/influencer.</t>
  </si>
  <si>
    <t>Offer office hours or cohort technical readiness sessions.</t>
  </si>
  <si>
    <t>Toyota Ventures</t>
  </si>
  <si>
    <t>Jim Adler</t>
  </si>
  <si>
    <t>Founding Managing Director</t>
  </si>
  <si>
    <t>Alexandre Flamant</t>
  </si>
  <si>
    <t>https://www.linkedin.com/search/results/people/?keywords=Jim%20Adler%20Toyota%20Ventures%20LinkedIn</t>
  </si>
  <si>
    <t>Senior CVC/VC route; strong strategic fit.</t>
  </si>
  <si>
    <t>Ask whether they ever need independent technical maturity reviews for mobility, robotics, ai, climate startups.</t>
  </si>
  <si>
    <t>HCVC</t>
  </si>
  <si>
    <t>Amazon Industrial Innovation Fund</t>
  </si>
  <si>
    <t>Franziska Bossart</t>
  </si>
  <si>
    <t>Head of Amazon Industrial Innovation Fund</t>
  </si>
  <si>
    <t>https://www.linkedin.com/search/results/people/?keywords=Franziska%20Bossart%20Amazon%20Industrial%20Innovation%20Fund%20LinkedIn</t>
  </si>
  <si>
    <t>Strong first contact if current role verified.</t>
  </si>
  <si>
    <t>Ask whether they ever need independent technical maturity reviews for logistics, robotics, supply chain, automation startups.</t>
  </si>
  <si>
    <t>Low/Medium</t>
  </si>
  <si>
    <t>Digital Catapult</t>
  </si>
  <si>
    <t>Susan Bowen</t>
  </si>
  <si>
    <t>Chief Executive Officer</t>
  </si>
  <si>
    <t>https://www.linkedin.com/search/results/people/?keywords=Susan%20Bowen%20Digital%20Catapult%20LinkedIn</t>
  </si>
  <si>
    <t>Senior route for programme/advisory partnerships.</t>
  </si>
  <si>
    <t>Ask whether they ever need independent technical maturity reviews for ai, immersive, telecoms, manufacturing tech, robotics-adjacent startups.</t>
  </si>
  <si>
    <t>https://www.linkedin.com/in/alexandreflamant/</t>
  </si>
  <si>
    <t>Conception X</t>
  </si>
  <si>
    <t>Riam Kanso</t>
  </si>
  <si>
    <t>Founder / CEO</t>
  </si>
  <si>
    <t>https://www.linkedin.com/search/results/people/?keywords=Riam%20Kanso%20Conception%20X%20LinkedIn</t>
  </si>
  <si>
    <t>Best first contact; strong PhD deeptech/startup fit.</t>
  </si>
  <si>
    <t>Ask whether they ever need independent technical maturity reviews for deep tech, ai, engineering, robotics-adjacent startups.</t>
  </si>
  <si>
    <t>UnternehmerTUM</t>
  </si>
  <si>
    <t>Helmut Schönenberger</t>
  </si>
  <si>
    <t>CEO / Co-Founder</t>
  </si>
  <si>
    <t>https://www.linkedin.com/search/results/people/?keywords=Helmut%20Sch%C3%B6nenberger%20UnternehmerTUM%20LinkedIn</t>
  </si>
  <si>
    <t>Senior entrepreneurship ecosystem route.</t>
  </si>
  <si>
    <t>Ask whether they ever need independent technical maturity reviews for industrial tech, robotics, ai, mobility startups.</t>
  </si>
  <si>
    <t>Startup Autobahn powered by Plug and Play</t>
  </si>
  <si>
    <t>All contacts — Usage Notes</t>
  </si>
  <si>
    <t>Sascha Karstädt</t>
  </si>
  <si>
    <t>Programme / corporate innovation</t>
  </si>
  <si>
    <t>https://www.linkedin.com/search/results/people/?keywords=Sascha%20Karst%C3%A4dt%20Startup%20Autobahn%20powered%20by%20Plug%20and%20Play%20LinkedIn</t>
  </si>
  <si>
    <t>Potential programme lead; verify current role.</t>
  </si>
  <si>
    <t>Ask whether they ever need independent technical maturity reviews for mobility, automotive, robotics, industrial tech startups.</t>
  </si>
  <si>
    <t>Teon Rosandic</t>
  </si>
  <si>
    <t>Bosch Ventures</t>
  </si>
  <si>
    <t>Ingo Ramesohl</t>
  </si>
  <si>
    <t>Managing Director</t>
  </si>
  <si>
    <t>https://www.linkedin.com/search/results/people/?keywords=Ingo%20Ramesohl%20Bosch%20Ventures%20LinkedIn</t>
  </si>
  <si>
    <t>Strong CVC target; relevant to deeptech/industrial.</t>
  </si>
  <si>
    <t>Ask whether they ever need independent technical maturity reviews for industrial tech, ai, sensors, automation, mobility startups.</t>
  </si>
  <si>
    <t>All contacts is the working outreach sheet: one row per named person, with organisation context and contact tracking.</t>
  </si>
  <si>
    <t>Next47</t>
  </si>
  <si>
    <t>Source sheets</t>
  </si>
  <si>
    <t>All Targets and Contact Discovery remain unchanged and available for reference.</t>
  </si>
  <si>
    <t>Christian Noske</t>
  </si>
  <si>
    <t>Partner</t>
  </si>
  <si>
    <t>https://www.linkedin.com/search/results/people/?keywords=Christian%20Noske%20Next47%20LinkedIn</t>
  </si>
  <si>
    <t>Strong industrial/deeptech CVC contact.</t>
  </si>
  <si>
    <t>Ask whether they ever need independent technical maturity reviews for industrial tech, ai, robotics, automation, enterprise startups.</t>
  </si>
  <si>
    <t>Recommended workflow</t>
  </si>
  <si>
    <t>https://www.linkedin.com/in/teonrosandic/</t>
  </si>
  <si>
    <t>Filter Priority and Confidence; verify the current LinkedIn profile; tick Added as contact, Connection completed and Longer message as outreach progresses.</t>
  </si>
  <si>
    <t>Dashboard</t>
  </si>
  <si>
    <t>Dashboard now reports contact-level counts. Pain Dashboard continues to report organisation-level risk metrics to avoid double counting.</t>
  </si>
  <si>
    <t>Start with Priority A accelerators, venture studios, deeptech seed VCs and industrial CVCs.</t>
  </si>
  <si>
    <t>Amadeus Capital Partners</t>
  </si>
  <si>
    <t>Amelia Armour</t>
  </si>
  <si>
    <t>Message</t>
  </si>
  <si>
    <t>https://www.linkedin.com/search/results/people/?keywords=Amelia%20Armour%20Amadeus%20Capital%20Partners%20LinkedIn</t>
  </si>
  <si>
    <t>Do not lead with failed investments. Lead with exposure to robotics/physical tech and demo-to-deployment risk.</t>
  </si>
  <si>
    <t>Senior investment partner; likely useful for deeptech deal flow.</t>
  </si>
  <si>
    <t>Reference your robotics/system integration background; offer focused support on physical AI and automation deals.</t>
  </si>
  <si>
    <t>High-ish</t>
  </si>
  <si>
    <t>IQ Capital</t>
  </si>
  <si>
    <t>Kerry Baldwin</t>
  </si>
  <si>
    <t>Co-Founder / Managing Partner</t>
  </si>
  <si>
    <t>https://www.linkedin.com/search/results/people/?keywords=Kerry%20Baldwin%20IQ%20Capital%20LinkedIn</t>
  </si>
  <si>
    <t>Senior deeptech investor; strong fit for thesis validation.</t>
  </si>
  <si>
    <t>Ask whether they ever need independent technical maturity reviews for deep tech, ai, robotics, frontier tech startups.</t>
  </si>
  <si>
    <t>Parkwalk Advisors</t>
  </si>
  <si>
    <t>Alex LB</t>
  </si>
  <si>
    <t>Alun Williams</t>
  </si>
  <si>
    <t>Investment Director</t>
  </si>
  <si>
    <t>https://www.linkedin.com/search/results/people/?keywords=Alun%20Williams%20Parkwalk%20Advisors%20LinkedIn</t>
  </si>
  <si>
    <t>University spinout investor; relevant to technical maturity of spinouts.</t>
  </si>
  <si>
    <t>Ask whether they ever need independent technical maturity reviews for hard tech, university spinouts, robotics, engineering startups.</t>
  </si>
  <si>
    <t>Post</t>
  </si>
  <si>
    <t>Boardy</t>
  </si>
  <si>
    <t>IP Group</t>
  </si>
  <si>
    <t>Date</t>
  </si>
  <si>
    <t>Greg Smith</t>
  </si>
  <si>
    <t>Hashtags</t>
  </si>
  <si>
    <t>https://www.linkedin.com/search/results/people/?keywords=Greg%20Smith%20IP%20Group%20LinkedIn</t>
  </si>
  <si>
    <t>Comments</t>
  </si>
  <si>
    <t>Very senior; better for strategic intro, not first cold contact.</t>
  </si>
  <si>
    <t>Ask whether they ever need independent technical maturity reviews for deep tech, engineering, physical science, robotics-adjacent startups.</t>
  </si>
  <si>
    <t>Physical AI will not be won by models alone.
Better models matter. Foundation models, robot policies and whole-body control are moving quickly.
But robotics is still different from software-only AI.
A robot has to perceive, decide and act in a physical environment where the cost of being wrong is higher. Objects move. Sensors drift. Contact is messy. Humans intervene. Lighting changes. Fixtures are inconsistent. Maintenance happens. The real world does not respect the assumptions in a clean demo.
That is why I think evidence discipline is becoming one of the most important capabilities in robotics teams.
For a serious robotics system, I want to see evidence such as:
- what conditions the system was tested under
- what failure modes were observed
- what recovery behaviours exist
- what assumptions were controlled
- how reliability is measured
- what changed between demo, pilot and deployment
- whether the roadmap attacks the highest-risk unknowns first
This is not bureaucracy.
It is how technical teams avoid fooling themselves.
Strong robotics teams do not just build impressive prototypes. They build a clear path of evidence steps, proving what the system can do, where if breaks, and what are the conditions to scale in production.
That is useful for founders.
It is useful for engineering leaders.
And it is very useful for anyone evaluating whether a robotics company is ready for the next milestone.</t>
  </si>
  <si>
    <t>Northern Gritstone</t>
  </si>
  <si>
    <t>Duncan Johnson</t>
  </si>
  <si>
    <t>https://www.linkedin.com/search/results/people/?keywords=Duncan%20Johnson%20Northern%20Gritstone%20LinkedIn</t>
  </si>
  <si>
    <t>#Robotics
#PhysicalAI
#SystemsEngineering
#TechnicalDueDiligence
#DeepTech
#Automation</t>
  </si>
  <si>
    <t>Senior route; useful for spinout/deeptech thesis.</t>
  </si>
  <si>
    <t>Ask whether they ever need independent technical maturity reviews for deep tech, engineering, ai, advanced manufacturing startups.</t>
  </si>
  <si>
    <t>https://www.linkedin.com/in/alex-lb/</t>
  </si>
  <si>
    <t>Oxford Science Enterprises</t>
  </si>
  <si>
    <t>Alexis Dormandy</t>
  </si>
  <si>
    <t>https://www.linkedin.com/search/results/people/?keywords=Alexis%20Dormandy%20Oxford%20Science%20Enterprises%20LinkedIn</t>
  </si>
  <si>
    <t>Senior; useful for strategic technical diligence conversations.</t>
  </si>
  <si>
    <t>Ask whether they ever need independent technical maturity reviews for deep tech, ai, autonomy, engineering startups.</t>
  </si>
  <si>
    <t>Vsquared Ventures</t>
  </si>
  <si>
    <t>Herbert Mangesius</t>
  </si>
  <si>
    <t>Founding Partner</t>
  </si>
  <si>
    <t>https://www.linkedin.com/search/results/people/?keywords=Herbert%20Mangesius%20Vsquared%20Ventures%20LinkedIn</t>
  </si>
  <si>
    <t>Strong deeptech/frontier investor; relevant first contact.</t>
  </si>
  <si>
    <t>Ask whether they ever need independent technical maturity reviews for deep tech, robotics, ai, space, quantum startups.</t>
  </si>
  <si>
    <t>N/A</t>
  </si>
  <si>
    <t>the companies adopting robotics are not buying a robotics solution, they are getting rid of a staffing problem, I'd argue that the long term economic impact on productivity is more important than the efficacy of the solution, because that's capitalism. the total saving of an imperfect automated solution is far greater than an imperfect human one</t>
  </si>
  <si>
    <t>UVC Partners</t>
  </si>
  <si>
    <t>Johannes von Borries</t>
  </si>
  <si>
    <t>Managing Partner</t>
  </si>
  <si>
    <t>https://www.linkedin.com/search/results/people/?keywords=Johannes%20von%20Borries%20UVC%20Partners%20LinkedIn</t>
  </si>
  <si>
    <t>Senior seed/deeptech contact.</t>
  </si>
  <si>
    <t>Ask whether they ever need independent technical maturity reviews for industrial tech, robotics, ai, automation startups.</t>
  </si>
  <si>
    <t>Tatiana K</t>
  </si>
  <si>
    <t>Freigeist Capital</t>
  </si>
  <si>
    <t>Grishin Robotics</t>
  </si>
  <si>
    <t>Frank Thelen</t>
  </si>
  <si>
    <t>https://www.linkedin.com/search/results/people/?keywords=Frank%20Thelen%20Freigeist%20Capital%20LinkedIn</t>
  </si>
  <si>
    <t>VC Accelerator</t>
  </si>
  <si>
    <t>High-profile senior route; not ideal first operational buyer.</t>
  </si>
  <si>
    <t>Ask whether they ever need independent technical maturity reviews for deep tech, robotics, ai, disruptive tech startups.</t>
  </si>
  <si>
    <t>BeAble Capital</t>
  </si>
  <si>
    <t>Regina Llopis</t>
  </si>
  <si>
    <t>Founder / Chair</t>
  </si>
  <si>
    <t>https://www.linkedin.com/search/results/people/?keywords=Regina%20Llopis%20BeAble%20Capital%20LinkedIn</t>
  </si>
  <si>
    <t>Senior deep science investor route.</t>
  </si>
  <si>
    <t>Ask whether they ever need independent technical maturity reviews for industrial deep tech, advanced materials, hardware, engineering startups.</t>
  </si>
  <si>
    <t>Bullnet Capital</t>
  </si>
  <si>
    <t>https://www.linkedin.com/in/tatiana-krause/</t>
  </si>
  <si>
    <t>Javier Ulecia</t>
  </si>
  <si>
    <t>https://www.linkedin.com/search/results/people/?keywords=Javier%20Ulecia%20Bullnet%20Capital%20LinkedIn</t>
  </si>
  <si>
    <t>Senior Spanish tech VC contact.</t>
  </si>
  <si>
    <t>Ask whether they ever need independent technical maturity reviews for industrial tech, electronics, ai, hardware startups.</t>
  </si>
  <si>
    <t>The Collider / Mobile World Capital Barcelona</t>
  </si>
  <si>
    <t>Oscar Sala</t>
  </si>
  <si>
    <t>Director, The Collider / MWCapital</t>
  </si>
  <si>
    <t>https://www.linkedin.com/search/results/people/?keywords=Oscar%20Sala%20The%20Collider%20/%20Mobile%20World%20Capital%20Barcelona%20LinkedIn</t>
  </si>
  <si>
    <t>Strong first contact for deeptech venture builder angle.</t>
  </si>
  <si>
    <t>Ask whether they ever need independent technical maturity reviews for deep tech, industry, science-based startups startups.</t>
  </si>
  <si>
    <t>SOSV HAX</t>
  </si>
  <si>
    <t>Duncan Turner</t>
  </si>
  <si>
    <t>General Partner, HAX</t>
  </si>
  <si>
    <t>https://www.linkedin.com/search/results/people/?keywords=Duncan%20Turner%20SOSV%20HAX%20LinkedIn</t>
  </si>
  <si>
    <t>Excellent hardware/robotics route.</t>
  </si>
  <si>
    <t>Ask whether they ever need independent technical maturity reviews for hardtech, robotics, industrial, climate hardware startups.</t>
  </si>
  <si>
    <t>Adara Ventures</t>
  </si>
  <si>
    <t>Alberto Gómez</t>
  </si>
  <si>
    <t>https://www.linkedin.com/search/results/people/?keywords=Alberto%20G%C3%B3mez%20Adara%20Ventures%20LinkedIn</t>
  </si>
  <si>
    <t>Senior deeptech/enterprise investor; strong fit.</t>
  </si>
  <si>
    <t>Ask whether they ever need independent technical maturity reviews for cybersecurity, data, ai, deeptech-adjacent startups.</t>
  </si>
  <si>
    <t>Hello Tomorrow</t>
  </si>
  <si>
    <t>Arnaud de la Tour</t>
  </si>
  <si>
    <t>Co-Founder / CEO</t>
  </si>
  <si>
    <t>https://www.linkedin.com/search/results/people/?keywords=Arnaud%20de%20la%20Tour%20Hello%20Tomorrow%20LinkedIn</t>
  </si>
  <si>
    <t>Dmitry Grishin</t>
  </si>
  <si>
    <t>Strong deeptech ecosystem contact.</t>
  </si>
  <si>
    <t>Ask whether they ever need independent technical maturity reviews for deep tech, science, industrial, robotics-adjacent startups.</t>
  </si>
  <si>
    <t>HighTechXL</t>
  </si>
  <si>
    <t>John Bell</t>
  </si>
  <si>
    <t>CEO</t>
  </si>
  <si>
    <t>https://www.linkedin.com/search/results/people/?keywords=John%20Bell%20HighTechXL%20LinkedIn</t>
  </si>
  <si>
    <t>Strong venture builder/accelerator contact.</t>
  </si>
  <si>
    <t>Ask whether they ever need independent technical maturity reviews for deep tech, hardtech, hardware, industrial startups.</t>
  </si>
  <si>
    <t>imec.istart</t>
  </si>
  <si>
    <t>Sven De Cleyn</t>
  </si>
  <si>
    <t>Programme Director / Managing Director</t>
  </si>
  <si>
    <t>https://www.linkedin.com/in/dmitry-grishin/</t>
  </si>
  <si>
    <t>https://www.linkedin.com/search/results/people/?keywords=Sven%20De%20Cleyn%20imec.istart%20LinkedIn</t>
  </si>
  <si>
    <t>Strong accelerator/investor route.</t>
  </si>
  <si>
    <t>Ask whether they ever need independent technical maturity reviews for nanoelectronics, ai, hardware, tech startups startups.</t>
  </si>
  <si>
    <t>DTU Skylab</t>
  </si>
  <si>
    <t>Christina Lasthein</t>
  </si>
  <si>
    <t>Head / Director, DTU Skylab</t>
  </si>
  <si>
    <t>https://www.linkedin.com/search/results/people/?keywords=Christina%20Lasthein%20DTU%20Skylab%20LinkedIn</t>
  </si>
  <si>
    <t>Potential programme partnership route; verify current title.</t>
  </si>
  <si>
    <t>Ask whether they ever need independent technical maturity reviews for engineering, robotics, hardware, ai startups.</t>
  </si>
  <si>
    <t>Startupbootcamp DeepTech &amp; Robotics</t>
  </si>
  <si>
    <t>Patrick de Zeeuw</t>
  </si>
  <si>
    <t>Co-Founder / CEO Startupbootcamp</t>
  </si>
  <si>
    <t>https://www.linkedin.com/search/results/people/?keywords=Patrick%20de%20Zeeuw%20Startupbootcamp%20DeepTech%20%26%20Robotics%20LinkedIn</t>
  </si>
  <si>
    <t>Senior accelerator route.</t>
  </si>
  <si>
    <t>Ask whether they ever need independent technical maturity reviews for robotics, deeptech, engineering innovation startups.</t>
  </si>
  <si>
    <t>NVentures</t>
  </si>
  <si>
    <t>Mohamed 'Moe' Aljaber</t>
  </si>
  <si>
    <t>Head / investor, NVentures</t>
  </si>
  <si>
    <t>https://www.linkedin.com/search/results/people/?keywords=Mohamed%20%27Moe%27%20Aljaber%20NVentures%20LinkedIn</t>
  </si>
  <si>
    <t>Potential senior NVentures contact; verify current title.</t>
  </si>
  <si>
    <t>Ask whether they ever need independent technical maturity reviews for ai, robotics, simulation, autonomous systems startups.</t>
  </si>
  <si>
    <t>Jeffrey Ng</t>
  </si>
  <si>
    <t>https://www.linkedin.com/in/jeffreynsk/</t>
  </si>
  <si>
    <t>Doug Regner</t>
  </si>
  <si>
    <t>Unusual ventures</t>
  </si>
  <si>
    <t>UK &amp; Ireland</t>
  </si>
  <si>
    <t>https://www.amadeuscapital.com/</t>
  </si>
  <si>
    <t>Partner, Principal, Investment Manager</t>
  </si>
  <si>
    <t>Manjari Chandran-Ramesh</t>
  </si>
  <si>
    <t>Partner with deeptech/intelligence relevance.</t>
  </si>
  <si>
    <t>https://www.linkedin.com/search/results/people/?keywords=Manjari%20Chandran-Ramesh%20Amadeus%20Capital%20Partners%20LinkedIn</t>
  </si>
  <si>
    <t>Nick Kingsbury</t>
  </si>
  <si>
    <t>Partner; useful senior decision maker / intro route.</t>
  </si>
  <si>
    <t>https://www.linkedin.com/search/results/people/?keywords=Nick%20Kingsbury%20Amadeus%20Capital%20Partners%20LinkedIn</t>
  </si>
  <si>
    <t>Deep tech, AI, robotics, frontier tech</t>
  </si>
  <si>
    <t>Strong Cambridge/London deep tech investor; good fit for technical maturity reviews.</t>
  </si>
  <si>
    <t>https://iqcapital.vc/</t>
  </si>
  <si>
    <t>Partner, Principal</t>
  </si>
  <si>
    <t>Ed Stacey</t>
  </si>
  <si>
    <t>Senior deeptech investor; likely decision maker.</t>
  </si>
  <si>
    <t>https://www.linkedin.com/search/results/people/?keywords=Ed%20Stacey%20IQ%20Capital%20LinkedIn</t>
  </si>
  <si>
    <t>Max Bautin</t>
  </si>
  <si>
    <t>Co-Founder / Partner</t>
  </si>
  <si>
    <t>Technical/deeptech investor route; verify current remit.</t>
  </si>
  <si>
    <t>https://www.linkedin.com/search/results/people/?keywords=Max%20Bautin%20IQ%20Capital%20LinkedIn</t>
  </si>
  <si>
    <t>Deep tech, engineering, physical science, robotics-adjacent</t>
  </si>
  <si>
    <t>Works with university-origin deeptech; relevant for technical and commercialisation readiness.</t>
  </si>
  <si>
    <t>https://www.ipgroupplc.com/</t>
  </si>
  <si>
    <t>Investment Director, Portfolio Director</t>
  </si>
  <si>
    <t>Deep tech, engineering, AI, advanced manufacturing</t>
  </si>
  <si>
    <t>Backs university spinouts from the North of England; likely needs external expert views for technical sectors.</t>
  </si>
  <si>
    <t>https://northerngritstone.com/</t>
  </si>
  <si>
    <t>Investment Director, Venture Partner</t>
  </si>
  <si>
    <t>Andrew Williamson</t>
  </si>
  <si>
    <t>Cambridge Innovation Capital</t>
  </si>
  <si>
    <t>Deep tech, AI, robotics-adjacent, engineering</t>
  </si>
  <si>
    <t>Cambridge deeptech investor with technical spinout deal flow.</t>
  </si>
  <si>
    <t>https://www.cic.vc/</t>
  </si>
  <si>
    <t>Partner, Investment Manager</t>
  </si>
  <si>
    <t>Senior CIC investor; strong Cambridge deeptech fit.</t>
  </si>
  <si>
    <t>https://www.linkedin.com/search/results/people/?keywords=Andrew%20Williamson%20Cambridge%20Innovation%20Capital%20LinkedIn</t>
  </si>
  <si>
    <t>Ask whether they ever need independent technical maturity reviews for deep tech, ai, robotics-adjacent, engineering startups.</t>
  </si>
  <si>
    <t>Deep tech, AI, autonomy, engineering</t>
  </si>
  <si>
    <t>Oxford spinout ecosystem; potential need for technical diligence support.</t>
  </si>
  <si>
    <t>https://oxfordscienceenterprises.com/</t>
  </si>
  <si>
    <t>Investment Principal, Venture Partner</t>
  </si>
  <si>
    <t>Deep tech, AI, robotics, engineering</t>
  </si>
  <si>
    <t>Accelerator, pre-seed/seed</t>
  </si>
  <si>
    <t>Accelerator model; likely values mentor/advisor pool and technical readiness reviews.</t>
  </si>
  <si>
    <t>https://www.deeptechlabs.co.uk/</t>
  </si>
  <si>
    <t>Programme Director, Venture Partner</t>
  </si>
  <si>
    <t>Alice Bentinck</t>
  </si>
  <si>
    <t>Entrepreneur First</t>
  </si>
  <si>
    <t>Deep tech, AI, robotics, technical founders</t>
  </si>
  <si>
    <t>Pre-company to seed</t>
  </si>
  <si>
    <t>Large technical founder pipeline; good fit for office hours and readiness reviews.</t>
  </si>
  <si>
    <t>https://www.joinef.com/</t>
  </si>
  <si>
    <t>Programme Lead, Venture Partner, Talent Investor</t>
  </si>
  <si>
    <t>Co-Founder</t>
  </si>
  <si>
    <t>Senior ecosystem route; good for high-level intro.</t>
  </si>
  <si>
    <t>https://www.linkedin.com/search/results/people/?keywords=Alice%20Bentinck%20Entrepreneur%20First%20LinkedIn</t>
  </si>
  <si>
    <t>Offer technical maturity office hours for teams building physical AI/robotics.</t>
  </si>
  <si>
    <t>Brent Hoberman</t>
  </si>
  <si>
    <t>Founders Factory</t>
  </si>
  <si>
    <t>Venture building, deeptech, industrial, AI</t>
  </si>
  <si>
    <t>Pre-seed to seed</t>
  </si>
  <si>
    <t>Venture studio may need independent technical assessment across new ventures.</t>
  </si>
  <si>
    <t>https://foundersfactory.com/</t>
  </si>
  <si>
    <t>Venture Studio Director, Investment Lead</t>
  </si>
  <si>
    <t>Co-Founder / Executive Chairman</t>
  </si>
  <si>
    <t>Senior ecosystem route, not ideal first operational contact.</t>
  </si>
  <si>
    <t>https://www.linkedin.com/search/results/people/?keywords=Brent%20Hoberman%20Founders%20Factory%20LinkedIn</t>
  </si>
  <si>
    <t>https://foundersfactory.com/studio/</t>
  </si>
  <si>
    <t>Ask whether they ever need independent technical maturity reviews for venture building, deeptech, industrial, ai startups.</t>
  </si>
  <si>
    <t>AI, immersive, telecoms, manufacturing tech, robotics-adjacent</t>
  </si>
  <si>
    <t>Accelerator / programme support</t>
  </si>
  <si>
    <t>Runs innovation programmes and portfolio support; could buy expert office hours or readiness reviews.</t>
  </si>
  <si>
    <t>https://www.digicatapult.org.uk/</t>
  </si>
  <si>
    <t>Programme Manager, Investment/Innovation Lead</t>
  </si>
  <si>
    <t>Deep tech, AI, engineering, robotics-adjacent</t>
  </si>
  <si>
    <t>PhD-founder accelerator</t>
  </si>
  <si>
    <t>Technical founders need diligence readiness and roadmap realism support.</t>
  </si>
  <si>
    <t>https://conceptionx.org/</t>
  </si>
  <si>
    <t>Programme Director, Venture Lead</t>
  </si>
  <si>
    <t>Ana Avaliani</t>
  </si>
  <si>
    <t>Royal Academy of Engineering Enterprise Hub</t>
  </si>
  <si>
    <t>Engineering, deep tech, hardware</t>
  </si>
  <si>
    <t>Founders, scale-up programmes</t>
  </si>
  <si>
    <t>Engineering founders; external technical maturity assessment can support investment readiness.</t>
  </si>
  <si>
    <t>https://enterprisehub.raeng.org.uk/</t>
  </si>
  <si>
    <t>Programme Lead, Enterprise Hub Manager</t>
  </si>
  <si>
    <t>Director, Enterprise</t>
  </si>
  <si>
    <t>Strong buyer/influencer for founder/enterprise support.</t>
  </si>
  <si>
    <t>https://www.linkedin.com/search/results/people/?keywords=Ana%20Avaliani%20Royal%20Academy%20of%20Engineering%20Enterprise%20Hub%20LinkedIn</t>
  </si>
  <si>
    <t>Ask whether they ever need independent technical maturity reviews for engineering, deep tech, hardware startups.</t>
  </si>
  <si>
    <t>DACH</t>
  </si>
  <si>
    <t>Deep tech, robotics, AI, space, quantum</t>
  </si>
  <si>
    <t>One of the strongest European deeptech investors; highly relevant to robotics/physical AI diligence.</t>
  </si>
  <si>
    <t>https://www.vsquared.vc/</t>
  </si>
  <si>
    <t>Industrial tech, robotics, AI, automation</t>
  </si>
  <si>
    <t>Seed to Series A</t>
  </si>
  <si>
    <t>Munich/UnternehmerTUM-linked; very relevant for industrial/robotics startups.</t>
  </si>
  <si>
    <t>https://www.uvcpartners.com/</t>
  </si>
  <si>
    <t>Alex von Frankenberg</t>
  </si>
  <si>
    <t>High-Tech Gründerfonds</t>
  </si>
  <si>
    <t>Deep tech, industrial tech, automation, robotics</t>
  </si>
  <si>
    <t>Seed</t>
  </si>
  <si>
    <t>High-volume German seed investor in technical companies; strong fit.</t>
  </si>
  <si>
    <t>https://www.htgf.de/en/</t>
  </si>
  <si>
    <t>Investment Manager, Partner</t>
  </si>
  <si>
    <t>Senior route; high-level not necessarily first contact.</t>
  </si>
  <si>
    <t>https://www.linkedin.com/search/results/people/?keywords=Alex%20von%20Frankenberg%20High-Tech%20Gr%C3%BCnderfonds%20LinkedIn</t>
  </si>
  <si>
    <t>Ask whether they ever need independent technical maturity reviews for deep tech, industrial tech, automation, robotics startups.</t>
  </si>
  <si>
    <t>Industrial tech, robotics, AI, mobility</t>
  </si>
  <si>
    <t>Accelerator / venture building</t>
  </si>
  <si>
    <t>High-quality Munich technical startup pipeline; good for office hours/cohort support.</t>
  </si>
  <si>
    <t>https://www.unternehmertum.de/</t>
  </si>
  <si>
    <t>Programme Lead, Venture Clienting Lead</t>
  </si>
  <si>
    <t>Stefan Drüssler</t>
  </si>
  <si>
    <t>TechFounders</t>
  </si>
  <si>
    <t>Industrial, mobility, automation, deep tech</t>
  </si>
  <si>
    <t>Accelerator / corporate pilots</t>
  </si>
  <si>
    <t>Accelerator model and corporate partners fit technical readiness reviews.</t>
  </si>
  <si>
    <t>https://www.techfounders.com/</t>
  </si>
  <si>
    <t>Managing Director, Programme Manager</t>
  </si>
  <si>
    <t>Likely best first contact for programme partnership.</t>
  </si>
  <si>
    <t>https://www.linkedin.com/search/results/people/?keywords=Stefan%20Dr%C3%BCssler%20TechFounders%20LinkedIn</t>
  </si>
  <si>
    <t>Ask whether they ever need independent technical maturity reviews for industrial, mobility, automation, deep tech startups.</t>
  </si>
  <si>
    <t>Mobility, automotive, robotics, industrial tech</t>
  </si>
  <si>
    <t>Corporate pilots / accelerator</t>
  </si>
  <si>
    <t>Strong fit for deployment readiness and pilot technical risk.</t>
  </si>
  <si>
    <t>https://startup-autobahn.com/</t>
  </si>
  <si>
    <t>Programme Lead, Corporate Partnerships</t>
  </si>
  <si>
    <t>Industrial tech, AI, sensors, automation, mobility</t>
  </si>
  <si>
    <t>CVC with deep industrial/robotics-adjacent exposure; potential high-value buyer.</t>
  </si>
  <si>
    <t>https://www.bosch.ventures/</t>
  </si>
  <si>
    <t>Investment Partner, Venture Clienting</t>
  </si>
  <si>
    <r>
      <rPr>
        <rFont val="-apple-system, system-ui, BlinkMacSystemFont, &quot;Segoe UI&quot;, Roboto, &quot;Helvetica Neue&quot;, &quot;Fira Sans&quot;, Ubuntu, Oxygen, &quot;Oxygen Sans&quot;, Cantarell, &quot;Droid Sans&quot;, &quot;Apple Color Emoji&quot;, &quot;Segoe UI Emoji&quot;, &quot;Segoe UI Emoji&quot;, &quot;Segoe UI Symbol&quot;, &quot;Lucida Grande&quot;, Helvetica, Arial, sans-serif"/>
        <color rgb="FF1155CC"/>
        <sz val="15.0"/>
        <u/>
      </rPr>
      <t>Cristina Doumitrachko</t>
    </r>
  </si>
  <si>
    <t>DTCF</t>
  </si>
  <si>
    <t>Growth Investor</t>
  </si>
  <si>
    <t>Hi Enrique,
many thanks reaching out will keep you in mind for this topics.
Best
Cristina</t>
  </si>
  <si>
    <t>Industrial tech, AI, robotics, automation, enterprise</t>
  </si>
  <si>
    <t>Series A+</t>
  </si>
  <si>
    <t>Strong automation/industrial focus; relevant but more mature and harder to reach.</t>
  </si>
  <si>
    <t>https://www.next47.com/</t>
  </si>
  <si>
    <t>Volker Ruerup</t>
  </si>
  <si>
    <t>DeepTech &amp; Climate Fonds</t>
  </si>
  <si>
    <t>Deep tech, climate, industrial transformation</t>
  </si>
  <si>
    <t>Growth</t>
  </si>
  <si>
    <t>German deeptech growth investor; relevant for heavier technical diligence.</t>
  </si>
  <si>
    <t>https://dtcf.de/</t>
  </si>
  <si>
    <t>Senior DTCF route; verify title/remit.</t>
  </si>
  <si>
    <t>https://www.linkedin.com/search/results/people/?keywords=Volker%20Ruerup%20DeepTech%20%26%20Climate%20Fonds%20LinkedIn</t>
  </si>
  <si>
    <t>Ask whether they ever need independent technical maturity reviews for deep tech, climate, industrial transformation startups.</t>
  </si>
  <si>
    <t>Aquilino Peña</t>
  </si>
  <si>
    <t>Southern Europe</t>
  </si>
  <si>
    <t>Kibo Ventures</t>
  </si>
  <si>
    <t>Deep tech, AI, robotics, defence, space</t>
  </si>
  <si>
    <t>Recent focus includes deep tech/robotics/defence; strong fit and Spanish access advantage.</t>
  </si>
  <si>
    <t>https://kibo.ventures/</t>
  </si>
  <si>
    <t>Senior Spanish VC contact; strong first route.</t>
  </si>
  <si>
    <t>https://www.linkedin.com/search/results/people/?keywords=Aquilino%20Pe%C3%B1a%20Kibo%20Ventures%20LinkedIn</t>
  </si>
  <si>
    <t>Ask whether they ever need independent technical maturity reviews for deep tech, ai, robotics, defence, space startups.</t>
  </si>
  <si>
    <t>Industrial deep tech, advanced materials, hardware, engineering</t>
  </si>
  <si>
    <t>Strong technical/science investor; likely sees companies needing technical maturity assessment.</t>
  </si>
  <si>
    <t>https://beablecapital.com/</t>
  </si>
  <si>
    <t>Industrial tech, electronics, AI, hardware</t>
  </si>
  <si>
    <t>Spanish deeptech investor; good local credibility target.</t>
  </si>
  <si>
    <t>https://bullnetcapital.com/</t>
  </si>
  <si>
    <t>Partner, Investment Director</t>
  </si>
  <si>
    <t>Deep tech, industry, science-based startups</t>
  </si>
  <si>
    <t>Venture building / accelerator</t>
  </si>
  <si>
    <t>Strong fit for technical founder readiness and technical maturity reviews.</t>
  </si>
  <si>
    <t>https://thecollider.tech/</t>
  </si>
  <si>
    <t>Programme Director, Venture Builder</t>
  </si>
  <si>
    <t>AI, IoT, industrial digitalisation, startups</t>
  </si>
  <si>
    <t>Accelerator / venture clienting</t>
  </si>
  <si>
    <t>Relevant for tech startups and corporate pilots; may value technical readiness support.</t>
  </si>
  <si>
    <t>https://www.wayra.com/</t>
  </si>
  <si>
    <t>Investment Manager, Programme Lead</t>
  </si>
  <si>
    <t>Cybersecurity, data, AI, deeptech-adjacent</t>
  </si>
  <si>
    <t>Technical investor; potentially useful for deeptech diligence support.</t>
  </si>
  <si>
    <t>https://www.adara.vc/</t>
  </si>
  <si>
    <t>Western Europe</t>
  </si>
  <si>
    <t>Deep tech, science, industrial, robotics-adjacent</t>
  </si>
  <si>
    <t>Accelerator, startup challenge</t>
  </si>
  <si>
    <t>Excellent route to deeptech founders, accelerators and VCs; likely value office hours.</t>
  </si>
  <si>
    <t>https://hello-tomorrow.org/</t>
  </si>
  <si>
    <t>Programme Director, Investor Relations</t>
  </si>
  <si>
    <t>Benelux</t>
  </si>
  <si>
    <t>Deep tech, hardtech, hardware, industrial</t>
  </si>
  <si>
    <t>Good fit for technical readiness reviews and founder office hours.</t>
  </si>
  <si>
    <t>https://hightechxl.com/</t>
  </si>
  <si>
    <t>Nanoelectronics, AI, hardware, tech startups</t>
  </si>
  <si>
    <t>Pre-seed / accelerator</t>
  </si>
  <si>
    <t>Benelux deeptech pipeline; good for technical office hours.</t>
  </si>
  <si>
    <t>https://www.imecistart.com/</t>
  </si>
  <si>
    <t>Programme Manager, Investment Lead</t>
  </si>
  <si>
    <t/>
  </si>
  <si>
    <t>Yannick Wilden</t>
  </si>
  <si>
    <t>https://www.linkedin.com/in/yannick-wilden-7645872/</t>
  </si>
  <si>
    <t>Hi Enrique, danke für die Nachricht. Kannst Du mir bitte die Anfrage und ein paar Infos zu euren Leistungen für startups und als Info für mein Team an yannick.wilden@imecistart.com senden? Dank und Gruß Y
👏
👍
😊
Sorry was in German - please use Google Translate 😉🙏</t>
  </si>
  <si>
    <r>
      <rPr>
        <rFont val="Arial"/>
        <color rgb="FF203040"/>
        <sz val="10.0"/>
      </rPr>
      <t xml:space="preserve">Hi Yannick,
Just following up on the information I sent you last week. I realised afterwards that I sent it from my personal email, so I’m following up from my Actuated Minds address.
I would be very interested in your feedback on whether this type of independent technical review could be useful for imec.istart, particularly when evaluating robotics, automation or physical AI companies.
Even a quick steer would be very useful.
Happy to have a short call if it is easier.
Best,
Enrique del Sol
Actuated Minds
</t>
    </r>
    <r>
      <rPr>
        <rFont val="Arial"/>
        <color rgb="FF1155CC"/>
        <sz val="10.0"/>
        <u/>
      </rPr>
      <t>https://actuatedminds.com</t>
    </r>
  </si>
  <si>
    <t>Dear Enrique,
Thank you for sharing the one-pager and for outlining your services so clearly. We have reviewed your offer internally and appreciate the expertise that Actuated Minds brings, particularly in the areas of robotics, automation, and physical AI.
Your approach to technical diligence and engineering assessments is certainly relevant to the types of companies that occasionally emerge within our ecosystem. At this point, however, we already have similar capabilities and processes in place internally and therefore do not currently see a need for external support in this area.
That said, I appreciate you reaching out and introducing your work to us. It's always valuable to be aware of experienced specialists in the ecosystem and I am happy to keep your details on file should our needs change in the future.
Thank you again for your interest in imec.istart and I wish you continued success with Actuated Minds!
Kind regards
Yannick
Yannick Wilden
Program Manager #imec.istart Germany</t>
  </si>
  <si>
    <t>Qualified - Not currently needed</t>
  </si>
  <si>
    <t>Internal technical diligence capability</t>
  </si>
  <si>
    <t>Overflow capacity / specialist robotics case / independent second opinion</t>
  </si>
  <si>
    <t>None</t>
  </si>
  <si>
    <t>Long-term</t>
  </si>
  <si>
    <r>
      <rPr>
        <rFont val="system-ui, -apple-system, BlinkMacSystemFont, &quot;Segoe UI&quot;, Roboto, Ubuntu, Oxygen, Cantarell, &quot;Fira Sans&quot;, &quot;Droid Sans&quot;, &quot;Helvetica Neue&quot;, Arial, sans-serif, &quot;Apple Color Emoji&quot;, &quot;Segoe UI Emoji&quot;, &quot;Segoe UI Symbol&quot;"/>
        <color rgb="FF1155CC"/>
        <sz val="9.0"/>
        <u/>
      </rPr>
      <t>Nick Landolfi</t>
    </r>
  </si>
  <si>
    <t>https://www.linkedin.com/in/nclando/</t>
  </si>
  <si>
    <t>Alexander Zhou</t>
  </si>
  <si>
    <t>Ventures Toghether</t>
  </si>
  <si>
    <t>https://www.linkedin.com/in/alexanderzhou/</t>
  </si>
  <si>
    <t>Phil O Donovan</t>
  </si>
  <si>
    <t>Individual Angel</t>
  </si>
  <si>
    <t>Angel</t>
  </si>
  <si>
    <t>https://www.linkedin.com/in/phil-o-donovan/</t>
  </si>
  <si>
    <t>Enrique, thank you, do you have a website or a one or two pager.
Phil.
------
Enrique, interesting.  How do you charge for your review ?
Best
Phil.</t>
  </si>
  <si>
    <t>Ed Prior</t>
  </si>
  <si>
    <t>SFC Capital</t>
  </si>
  <si>
    <t>Seed VC / Angel Fund</t>
  </si>
  <si>
    <t>B2B; AI; Hardware; Robotics-adjacent; Deeptech</t>
  </si>
  <si>
    <t>Pre-seed / Seed</t>
  </si>
  <si>
    <t>High-volume early-stage investor; independent technical review could help in technical deals where internal depth is constrained.</t>
  </si>
  <si>
    <t>https://www.sfccapital.com/</t>
  </si>
  <si>
    <t>Investment manager / portfolio lead</t>
  </si>
  <si>
    <t>Investment team</t>
  </si>
  <si>
    <t>https://www.linkedin.com/in/ed-prior-4336905b/?skipRedirect=true</t>
  </si>
  <si>
    <t>Frame as capacity for hard-tech/physical AI deals, not replacement of internal process.</t>
  </si>
  <si>
    <t>Harry Morgan</t>
  </si>
  <si>
    <t>United Kingdom / Europe</t>
  </si>
  <si>
    <t>7percent Ventures</t>
  </si>
  <si>
    <t>Micro VC</t>
  </si>
  <si>
    <t>Deeptech; Hard tech; AI; Robotics-adjacent; Space</t>
  </si>
  <si>
    <t>Small frontier-tech investor likely to see technical complexity and execution risk in early-stage deals.</t>
  </si>
  <si>
    <t>https://deeptechvclist.com/pages/robotics/</t>
  </si>
  <si>
    <t>Partner / investment manager</t>
  </si>
  <si>
    <t>https://www.linkedin.com/search/results/people/?keywords=Investment+Team+7percent+Ventures</t>
  </si>
  <si>
    <t>Ask for feedback on technical diligence as a specialist layer for frontier-tech seed deals.</t>
  </si>
  <si>
    <t>Francesc Andreu</t>
  </si>
  <si>
    <t>Robotics; Computer Vision; Machine Learning; Spain</t>
  </si>
  <si>
    <t>Listed as Spain machine-learning angel with robotics/computer vision focus; very relevant small-investor target.</t>
  </si>
  <si>
    <t>https://shizune.co/investors/machine-learning-angel-investors-spain</t>
  </si>
  <si>
    <t>Individual angel</t>
  </si>
  <si>
    <t>Angel investor</t>
  </si>
  <si>
    <t>https://www.linkedin.com/search/results/people/?keywords=Francesc+Andreu+Individual+Angel</t>
  </si>
  <si>
    <t>High</t>
  </si>
  <si>
    <t>Directly reference robotics/computer vision investment focus; ask if technical maturity reviews are useful for angel deals.</t>
  </si>
  <si>
    <t>Nathan Benaich</t>
  </si>
  <si>
    <t>Investor / advisor ecosystem</t>
  </si>
  <si>
    <t>Useful deeptech ecosystem route if associated; verify current relationship.</t>
  </si>
  <si>
    <t>https://www.linkedin.com/search/results/people/?keywords=Nathan%20Benaich%20Deeptech%20Labs%20LinkedIn</t>
  </si>
  <si>
    <t>Low</t>
  </si>
  <si>
    <t>Thanks will keep
In mind!
I’m looking for talent to join portfolio companies and new teams to invest in 
👏
👍
😊
And market insights ofc :)</t>
  </si>
  <si>
    <t>Talysia Gill</t>
  </si>
  <si>
    <t>Various Startups</t>
  </si>
  <si>
    <t>Greg Reichow</t>
  </si>
  <si>
    <t>Global / US</t>
  </si>
  <si>
    <t>Eclipse Ventures</t>
  </si>
  <si>
    <t>Industrial tech, hardware, robotics, manufacturing</t>
  </si>
  <si>
    <t>Excellent fit for automation/industrial systems, but likely has strong internal expertise.</t>
  </si>
  <si>
    <t>https://www.eclipse.vc/</t>
  </si>
  <si>
    <t>Hardware/manufacturing background; excellent fit.</t>
  </si>
  <si>
    <t>https://www.linkedin.com/search/results/people/?keywords=Greg%20Reichow%20Eclipse%20Ventures%20LinkedIn</t>
  </si>
  <si>
    <t>Ask whether they ever need independent technical maturity reviews for industrial tech, hardware, robotics, manufacturing startups.</t>
  </si>
  <si>
    <t>Roger Fawcett</t>
  </si>
  <si>
    <t>EnsioVision</t>
  </si>
  <si>
    <t>Felipe Navio</t>
  </si>
  <si>
    <t>Individual Angel / jobandtalent</t>
  </si>
  <si>
    <t>AI; Software; Logistics; Robotics; Spain</t>
  </si>
  <si>
    <t>Listed angel with Spanish AI focus and THEKER Robotics deal exposure; highly relevant for Spain robotics/deeptech circle.</t>
  </si>
  <si>
    <t>https://pipeseed.com/investor/felipe-navio-822077</t>
  </si>
  <si>
    <t>Individual angel / founder-angel</t>
  </si>
  <si>
    <t>https://www.linkedin.com/search/results/people/?keywords=Felipe+Navio+Individual+Angel+%2F+jobandtalent</t>
  </si>
  <si>
    <t>Ask for feedback on technical diligence for Spanish robotics/physical AI angel rounds.</t>
  </si>
  <si>
    <t>Auren Hoffman</t>
  </si>
  <si>
    <t>United States / Canada / Israel</t>
  </si>
  <si>
    <t>Analytics; AI; Software; Mobile</t>
  </si>
  <si>
    <t>Seed / Series A</t>
  </si>
  <si>
    <t>Active angel; useful if looking for broad AI angel feedback, less robotics-specific.</t>
  </si>
  <si>
    <t>https://shizune.co/investors/artificial-intelligence-angel-investors-united-states</t>
  </si>
  <si>
    <t>https://www.linkedin.com/search/results/people/?keywords=Auren+Hoffman+Individual+Angel</t>
  </si>
  <si>
    <t>Ask as a market feedback / intro request only.</t>
  </si>
  <si>
    <t>Hard tech, university spinouts, robotics, engineering</t>
  </si>
  <si>
    <t>Spinout-heavy portfolio means technical evidence and execution readiness matter.</t>
  </si>
  <si>
    <t>https://parkwalkadvisors.com/</t>
  </si>
  <si>
    <t>Anne Dobrée</t>
  </si>
  <si>
    <t>Spinout/startup experience; strong fit for deeptech readiness angle.</t>
  </si>
  <si>
    <t>https://www.linkedin.com/search/results/people/?keywords=Anne%20Dobr%C3%A9e%20Parkwalk%20Advisors%20LinkedIn</t>
  </si>
  <si>
    <t>Replied, but not interested. Trying to find out why,</t>
  </si>
  <si>
    <t>Martin Glen</t>
  </si>
  <si>
    <t>Investment director; potential route for university spinout diligence.</t>
  </si>
  <si>
    <t>https://www.linkedin.com/search/results/people/?keywords=Martin%20Glen%20Parkwalk%20Advisors%20LinkedIn</t>
  </si>
  <si>
    <t>Robert Tansley</t>
  </si>
  <si>
    <t>Life sciences-heavy; use only if fit unclear.</t>
  </si>
  <si>
    <t>https://www.linkedin.com/search/results/people/?keywords=Robert%20Tansley%20Cambridge%20Innovation%20Capital%20LinkedIn</t>
  </si>
  <si>
    <t>Paul Ashley</t>
  </si>
  <si>
    <t>Partner / Deeptech</t>
  </si>
  <si>
    <t>Potential relevant investment lead; verify current role.</t>
  </si>
  <si>
    <t>https://www.linkedin.com/search/results/people/?keywords=Paul%20Ashley%20Oxford%20Science%20Enterprises%20LinkedIn</t>
  </si>
  <si>
    <t>Matt Clifford</t>
  </si>
  <si>
    <t>Senior/high-profile; less likely first buyer, good strategic route.</t>
  </si>
  <si>
    <t>https://www.linkedin.com/search/results/people/?keywords=Matt%20Clifford%20Entrepreneur%20First%20LinkedIn</t>
  </si>
  <si>
    <t>Joe White</t>
  </si>
  <si>
    <t>General Partner / President</t>
  </si>
  <si>
    <t>Investor/programme route; verify current role.</t>
  </si>
  <si>
    <t>https://www.linkedin.com/search/results/people/?keywords=Joe%20White%20Entrepreneur%20First%20LinkedIn</t>
  </si>
  <si>
    <t>Henry Lane Fox</t>
  </si>
  <si>
    <t>Senior route; good for venture studio positioning.</t>
  </si>
  <si>
    <t>https://www.linkedin.com/search/results/people/?keywords=Henry%20Lane%20Fox%20Founders%20Factory%20LinkedIn</t>
  </si>
  <si>
    <t>Olivia Sibony</t>
  </si>
  <si>
    <t>Venture / entrepreneur support</t>
  </si>
  <si>
    <t>Potential programme/operator route; verify current role.</t>
  </si>
  <si>
    <t>https://www.linkedin.com/search/results/people/?keywords=Olivia%20Sibony%20Founders%20Factory%20LinkedIn</t>
  </si>
  <si>
    <t>Jeremy Silver</t>
  </si>
  <si>
    <t>Former CEO / advisor ecosystem</t>
  </si>
  <si>
    <t>Could be useful but verify current status before outreach.</t>
  </si>
  <si>
    <t>https://www.linkedin.com/search/results/people/?keywords=Jeremy%20Silver%20Digital%20Catapult%20LinkedIn</t>
  </si>
  <si>
    <t>Jessica Rushworth</t>
  </si>
  <si>
    <t>Innovation / programme leader</t>
  </si>
  <si>
    <t>Potential programme contact; verify current title.</t>
  </si>
  <si>
    <t>https://www.linkedin.com/search/results/people/?keywords=Jessica%20Rushworth%20Digital%20Catapult%20LinkedIn</t>
  </si>
  <si>
    <t>Felicity Burch</t>
  </si>
  <si>
    <t>Programme / leadership</t>
  </si>
  <si>
    <t>Potential programme partnership contact; verify current role.</t>
  </si>
  <si>
    <t>https://www.linkedin.com/search/results/people/?keywords=Felicity%20Burch%20Conception%20X%20LinkedIn</t>
  </si>
  <si>
    <t>Marga Hoek</t>
  </si>
  <si>
    <t>Advisor / board ecosystem</t>
  </si>
  <si>
    <t>Potential strategic intro; verify relevance.</t>
  </si>
  <si>
    <t>https://www.linkedin.com/search/results/people/?keywords=Marga%20Hoek%20Conception%20X%20LinkedIn</t>
  </si>
  <si>
    <t>Anita Friend</t>
  </si>
  <si>
    <t>DASA - Defence and Security Accelerator</t>
  </si>
  <si>
    <t>Defence tech, robotics, autonomy, sensors</t>
  </si>
  <si>
    <t>Grant / accelerator / pilot readiness</t>
  </si>
  <si>
    <t>Defence/dual-use technical assessment is aligned with robotics and deployment risk.</t>
  </si>
  <si>
    <t>https://www.gov.uk/government/organisations/defence-and-security-accelerator</t>
  </si>
  <si>
    <t>Innovation Partner, Programme Manager</t>
  </si>
  <si>
    <t>Head of DASA</t>
  </si>
  <si>
    <t>Strong senior route for defence innovation technical review.</t>
  </si>
  <si>
    <t>https://www.linkedin.com/search/results/people/?keywords=Anita%20Friend%20DASA%20-%20Defence%20and%20Security%20Accelerator%20LinkedIn</t>
  </si>
  <si>
    <t>Ask whether they ever need independent technical maturity reviews for defence tech, robotics, autonomy, sensors startups.</t>
  </si>
  <si>
    <t>Adam Moore</t>
  </si>
  <si>
    <t>Innovation partner / DASA contact</t>
  </si>
  <si>
    <t>Potential programme contact; verify current role.</t>
  </si>
  <si>
    <t>https://www.linkedin.com/search/results/people/?keywords=Adam%20Moore%20DASA%20-%20Defence%20and%20Security%20Accelerator%20LinkedIn</t>
  </si>
  <si>
    <t>DASA Regional Innovation Partner</t>
  </si>
  <si>
    <t>Programme contact</t>
  </si>
  <si>
    <t>Use if named contact not found; route through DASA enquiry.</t>
  </si>
  <si>
    <t>https://www.linkedin.com/search/results/people/?keywords=DASA%20Regional%20Innovation%20Partner%20DASA%20-%20Defence%20and%20Security%20Accelerator%20LinkedIn</t>
  </si>
  <si>
    <t>Zoë Chambers</t>
  </si>
  <si>
    <t>Octopus Ventures</t>
  </si>
  <si>
    <t>Deep tech, AI, health, climate, B2B</t>
  </si>
  <si>
    <t>Large UK VC with deeptech interest; likely has complex technical deal flow.</t>
  </si>
  <si>
    <t>https://octopusventures.com/</t>
  </si>
  <si>
    <t>Deep Tech Investor, Partner</t>
  </si>
  <si>
    <t>Deeptech/frontier investor route; verify domain fit.</t>
  </si>
  <si>
    <t>https://www.linkedin.com/search/results/people/?keywords=Zo%C3%AB%20Chambers%20Octopus%20Ventures%20LinkedIn</t>
  </si>
  <si>
    <t>Ask whether they ever need independent technical maturity reviews for deep tech, ai, health, climate, b2b startups.</t>
  </si>
  <si>
    <t>Will Gibbs</t>
  </si>
  <si>
    <t>Health/deeptech adjacent; verify relevance.</t>
  </si>
  <si>
    <t>https://www.linkedin.com/search/results/people/?keywords=Will%20Gibbs%20Octopus%20Ventures%20LinkedIn</t>
  </si>
  <si>
    <t>Simon King</t>
  </si>
  <si>
    <t>Deeptech/investor route; verify current remit.</t>
  </si>
  <si>
    <t>https://www.linkedin.com/search/results/people/?keywords=Simon%20King%20Octopus%20Ventures%20LinkedIn</t>
  </si>
  <si>
    <t>Thomas Oehl</t>
  </si>
  <si>
    <t>General Partner</t>
  </si>
  <si>
    <t>Strong senior VC contact; likely decision maker.</t>
  </si>
  <si>
    <t>https://www.linkedin.com/search/results/people/?keywords=Thomas%20Oehl%20Vsquared%20Ventures%20LinkedIn</t>
  </si>
  <si>
    <t>Andrin Bachmann</t>
  </si>
  <si>
    <t>Potential deeptech/industrial contact; verify remit.</t>
  </si>
  <si>
    <t>https://www.linkedin.com/search/results/people/?keywords=Andrin%20Bachmann%20Vsquared%20Ventures%20LinkedIn</t>
  </si>
  <si>
    <t>Thomas Kirchner</t>
  </si>
  <si>
    <t>Technical/industrial investor route; verify current remit.</t>
  </si>
  <si>
    <t>https://www.linkedin.com/search/results/people/?keywords=Thomas%20Kirchner%20UVC%20Partners%20LinkedIn</t>
  </si>
  <si>
    <t>Niklas Hebborn</t>
  </si>
  <si>
    <t>Principal / Investor</t>
  </si>
  <si>
    <t>Good operational outreach target; verify role.</t>
  </si>
  <si>
    <t>https://www.linkedin.com/search/results/people/?keywords=Niklas%20Hebborn%20UVC%20Partners%20LinkedIn</t>
  </si>
  <si>
    <t>Dr. Marco Winzer</t>
  </si>
  <si>
    <t>Partner / industrial tech</t>
  </si>
  <si>
    <t>Likely relevant for industrial/deeptech topics; verify remit.</t>
  </si>
  <si>
    <t>https://www.linkedin.com/search/results/people/?keywords=Dr.%20Marco%20Winzer%20High-Tech%20Gr%C3%BCnderfonds%20LinkedIn</t>
  </si>
  <si>
    <t>Stephanie Renz</t>
  </si>
  <si>
    <t>Programme / venture clienting</t>
  </si>
  <si>
    <t>https://www.linkedin.com/search/results/people/?keywords=Stephanie%20Renz%20UnternehmerTUM%20LinkedIn</t>
  </si>
  <si>
    <t>Katrin Hoffmann</t>
  </si>
  <si>
    <t>Programme / startup manager</t>
  </si>
  <si>
    <t>Potential operational contact; verify current role.</t>
  </si>
  <si>
    <t>https://www.linkedin.com/search/results/people/?keywords=Katrin%20Hoffmann%20TechFounders%20LinkedIn</t>
  </si>
  <si>
    <t>Franziska Leonhardt</t>
  </si>
  <si>
    <t>Programme / partnerships</t>
  </si>
  <si>
    <t>https://www.linkedin.com/search/results/people/?keywords=Franziska%20Leonhardt%20TechFounders%20LinkedIn</t>
  </si>
  <si>
    <t>Saeed Amidi</t>
  </si>
  <si>
    <t>Founder / CEO Plug and Play</t>
  </si>
  <si>
    <t>Too senior; strategic route only.</t>
  </si>
  <si>
    <t>https://www.linkedin.com/search/results/people/?keywords=Saeed%20Amidi%20Startup%20Autobahn%20powered%20by%20Plug%20and%20Play%20LinkedIn</t>
  </si>
  <si>
    <t>Jan Westerhues</t>
  </si>
  <si>
    <t>Investment Partner</t>
  </si>
  <si>
    <t>Good operational investment target; verify current remit.</t>
  </si>
  <si>
    <t>https://www.linkedin.com/search/results/people/?keywords=Jan%20Westerhues%20Bosch%20Ventures%20LinkedIn</t>
  </si>
  <si>
    <t>Hongquan Jiang</t>
  </si>
  <si>
    <t>Investment partner; use depending geography/domain.</t>
  </si>
  <si>
    <t>https://www.linkedin.com/search/results/people/?keywords=Hongquan%20Jiang%20Bosch%20Ventures%20LinkedIn</t>
  </si>
  <si>
    <t>Matthew Cowan</t>
  </si>
  <si>
    <t>Senior partner; good route for industrial/automation.</t>
  </si>
  <si>
    <t>https://www.linkedin.com/search/results/people/?keywords=Matthew%20Cowan%20Next47%20LinkedIn</t>
  </si>
  <si>
    <t>Rajeev Madhavan</t>
  </si>
  <si>
    <t>Senior tech investor route; verify domain fit.</t>
  </si>
  <si>
    <t>https://www.linkedin.com/search/results/people/?keywords=Rajeev%20Madhavan%20Next47%20LinkedIn</t>
  </si>
  <si>
    <t>Jörg Sperling</t>
  </si>
  <si>
    <t>Partner / investment</t>
  </si>
  <si>
    <t>Potential investment contact; verify role.</t>
  </si>
  <si>
    <t>https://www.linkedin.com/search/results/people/?keywords=J%C3%B6rg%20Sperling%20DeepTech%20%26%20Climate%20Fonds%20LinkedIn</t>
  </si>
  <si>
    <t>DTCF Investment Team</t>
  </si>
  <si>
    <t>Use generic team if individual unclear.</t>
  </si>
  <si>
    <t>https://www.linkedin.com/search/results/people/?keywords=DTCF%20Investment%20Team%20DeepTech%20%26%20Climate%20Fonds%20LinkedIn</t>
  </si>
  <si>
    <t>Deep tech, robotics, AI, disruptive tech</t>
  </si>
  <si>
    <t>Strong deeptech positioning; good fit for physical AI/robotics review.</t>
  </si>
  <si>
    <t>https://freigeist.com/</t>
  </si>
  <si>
    <t>Marc Sieberger</t>
  </si>
  <si>
    <t>Investor route; verify current remit.</t>
  </si>
  <si>
    <t>https://www.linkedin.com/search/results/people/?keywords=Marc%20Sieberger%20Freigeist%20Capital%20LinkedIn</t>
  </si>
  <si>
    <t>Alex Koch</t>
  </si>
  <si>
    <t>https://www.linkedin.com/search/results/people/?keywords=Alex%20Koch%20Freigeist%20Capital%20LinkedIn</t>
  </si>
  <si>
    <t>Javier Torremocha</t>
  </si>
  <si>
    <t>Senior VC contact; good route for deeptech/AI exposure.</t>
  </si>
  <si>
    <t>https://www.linkedin.com/search/results/people/?keywords=Javier%20Torremocha%20Kibo%20Ventures%20LinkedIn</t>
  </si>
  <si>
    <t>Miguel Arias</t>
  </si>
  <si>
    <t>Good operational partner; verify domain fit.</t>
  </si>
  <si>
    <t>https://www.linkedin.com/search/results/people/?keywords=Miguel%20Arias%20Kibo%20Ventures%20LinkedIn</t>
  </si>
  <si>
    <t>Alberto Díaz</t>
  </si>
  <si>
    <t>Strong technical/spinout investor route.</t>
  </si>
  <si>
    <t>https://www.linkedin.com/search/results/people/?keywords=Alberto%20D%C3%ADaz%20BeAble%20Capital%20LinkedIn</t>
  </si>
  <si>
    <t>Ana Maiques</t>
  </si>
  <si>
    <t>Advisor / deeptech ecosystem</t>
  </si>
  <si>
    <t>Potential intro route; verify current relationship.</t>
  </si>
  <si>
    <t>https://www.linkedin.com/search/results/people/?keywords=Ana%20Maiques%20BeAble%20Capital%20LinkedIn</t>
  </si>
  <si>
    <t>Andrés de León</t>
  </si>
  <si>
    <t>Partner / investor</t>
  </si>
  <si>
    <t>Potential contact; verify current role.</t>
  </si>
  <si>
    <t>https://www.linkedin.com/search/results/people/?keywords=Andr%C3%A9s%20de%20Le%C3%B3n%20Bullnet%20Capital%20LinkedIn</t>
  </si>
  <si>
    <t>Enrique Penichet</t>
  </si>
  <si>
    <t>https://www.linkedin.com/search/results/people/?keywords=Enrique%20Penichet%20Bullnet%20Capital%20LinkedIn</t>
  </si>
  <si>
    <t>Ángel Serrano</t>
  </si>
  <si>
    <t>Clave Capital</t>
  </si>
  <si>
    <t>Industrial tech, engineering, hardware-adjacent</t>
  </si>
  <si>
    <t>Regional Spanish VC with technical companies; potential fit.</t>
  </si>
  <si>
    <t>https://www.clavecapital.com/</t>
  </si>
  <si>
    <t>Investment Director, Partner</t>
  </si>
  <si>
    <t>Senior route; verify current title.</t>
  </si>
  <si>
    <t>https://www.linkedin.com/search/results/people/?keywords=%C3%81ngel%20Serrano%20Clave%20Capital%20LinkedIn</t>
  </si>
  <si>
    <t>Ask whether they ever need independent technical maturity reviews for industrial tech, engineering, hardware-adjacent startups.</t>
  </si>
  <si>
    <t>Roberto Gil</t>
  </si>
  <si>
    <t>Potential investment contact; verify remit.</t>
  </si>
  <si>
    <t>https://www.linkedin.com/search/results/people/?keywords=Roberto%20Gil%20Clave%20Capital%20LinkedIn</t>
  </si>
  <si>
    <t>Álvaro Rodríguez</t>
  </si>
  <si>
    <t>Investment Manager</t>
  </si>
  <si>
    <t>Operational outreach target; verify role.</t>
  </si>
  <si>
    <t>https://www.linkedin.com/search/results/people/?keywords=%C3%81lvaro%20Rodr%C3%ADguez%20Clave%20Capital%20LinkedIn</t>
  </si>
  <si>
    <t>Francesc Fajula</t>
  </si>
  <si>
    <t>CEO, Mobile World Capital Barcelona</t>
  </si>
  <si>
    <t>Senior route; strategic not first buyer.</t>
  </si>
  <si>
    <t>https://www.linkedin.com/search/results/people/?keywords=Francesc%20Fajula%20The%20Collider%20/%20Mobile%20World%20Capital%20Barcelona%20LinkedIn</t>
  </si>
  <si>
    <t>Laura Fernández</t>
  </si>
  <si>
    <t>Programme / startups</t>
  </si>
  <si>
    <t>https://www.linkedin.com/search/results/people/?keywords=Laura%20Fern%C3%A1ndez%20The%20Collider%20/%20Mobile%20World%20Capital%20Barcelona%20LinkedIn</t>
  </si>
  <si>
    <t>Javier Jiménez</t>
  </si>
  <si>
    <t>Lanzadera</t>
  </si>
  <si>
    <t>Broad startups, industry, tech, hardware-adjacent</t>
  </si>
  <si>
    <t>Large Spanish accelerator; potential cohort office hours or technical readiness package.</t>
  </si>
  <si>
    <t>https://lanzadera.es/</t>
  </si>
  <si>
    <t>Programme Director, Startup Manager</t>
  </si>
  <si>
    <t>General Director</t>
  </si>
  <si>
    <t>Senior programme route.</t>
  </si>
  <si>
    <t>https://www.linkedin.com/search/results/people/?keywords=Javier%20Jim%C3%A9nez%20Lanzadera%20LinkedIn</t>
  </si>
  <si>
    <t>Ask whether they ever need independent technical maturity reviews for broad startups, industry, tech, hardware-adjacent startups.</t>
  </si>
  <si>
    <t>Juan Roig</t>
  </si>
  <si>
    <t>Founder / backer</t>
  </si>
  <si>
    <t>Too senior; not first outreach target.</t>
  </si>
  <si>
    <t>https://www.linkedin.com/search/results/people/?keywords=Juan%20Roig%20Lanzadera%20LinkedIn</t>
  </si>
  <si>
    <t>Lanzadera Startup Selection Team</t>
  </si>
  <si>
    <t>Programme selection team</t>
  </si>
  <si>
    <t>Use if individual contact not obvious.</t>
  </si>
  <si>
    <t>https://www.linkedin.com/search/results/people/?keywords=Lanzadera%20Startup%20Selection%20Team%20Lanzadera%20LinkedIn</t>
  </si>
  <si>
    <t>Irene Gómez</t>
  </si>
  <si>
    <t>Investment / portfolio</t>
  </si>
  <si>
    <t>https://www.linkedin.com/search/results/people/?keywords=Irene%20G%C3%B3mez%20Wayra%20Spain%20LinkedIn</t>
  </si>
  <si>
    <t>Marta Antúnez</t>
  </si>
  <si>
    <t>Venture / startup ecosystem</t>
  </si>
  <si>
    <t>Potential contact; verify current relationship.</t>
  </si>
  <si>
    <t>https://www.linkedin.com/search/results/people/?keywords=Marta%20Ant%C3%BAnez%20Wayra%20Spain%20LinkedIn</t>
  </si>
  <si>
    <t>María Benjumea</t>
  </si>
  <si>
    <t>South Summit</t>
  </si>
  <si>
    <t>Startups, investors, innovation, deeptech tracks</t>
  </si>
  <si>
    <t>Networking / lead generation</t>
  </si>
  <si>
    <t>High concentration of VCs/accelerators; useful for outbound and partnerships.</t>
  </si>
  <si>
    <t>https://www.southsummit.co/</t>
  </si>
  <si>
    <t>Partnerships, Startup Competition Lead</t>
  </si>
  <si>
    <t>Founder / President</t>
  </si>
  <si>
    <t>Senior ecosystem route; could open intros.</t>
  </si>
  <si>
    <t>https://www.linkedin.com/search/results/people/?keywords=Mar%C3%ADa%20Benjumea%20South%20Summit%20LinkedIn</t>
  </si>
  <si>
    <t>Ask whether they ever need independent technical maturity reviews for startups, investors, innovation, deeptech tracks startups.</t>
  </si>
  <si>
    <t>Nacho Mateo</t>
  </si>
  <si>
    <t>CEO / Startup programme</t>
  </si>
  <si>
    <t>Operational route for startup competition/programmes.</t>
  </si>
  <si>
    <t>https://www.linkedin.com/search/results/people/?keywords=Nacho%20Mateo%20South%20Summit%20LinkedIn</t>
  </si>
  <si>
    <t>Iñaki Arrola</t>
  </si>
  <si>
    <t>K Fund</t>
  </si>
  <si>
    <t>AI, enterprise, deeptech-adjacent</t>
  </si>
  <si>
    <t>Pre-seed/seed</t>
  </si>
  <si>
    <t>Good Spanish VC with strong startup network; may know deeptech/robotics deals.</t>
  </si>
  <si>
    <t>https://www.kfund.vc/</t>
  </si>
  <si>
    <t>Senior VC contact; likely useful for Spanish startup ecosystem.</t>
  </si>
  <si>
    <t>https://www.linkedin.com/search/results/people/?keywords=I%C3%B1aki%20Arrola%20K%20Fund%20LinkedIn</t>
  </si>
  <si>
    <t>Ask whether they ever need independent technical maturity reviews for ai, enterprise, deeptech-adjacent startups.</t>
  </si>
  <si>
    <t>Carina Szpilka</t>
  </si>
  <si>
    <t>Senior VC contact; good route for investor angle.</t>
  </si>
  <si>
    <t>https://www.linkedin.com/search/results/people/?keywords=Carina%20Szpilka%20K%20Fund%20LinkedIn</t>
  </si>
  <si>
    <t>Jaime Novoa</t>
  </si>
  <si>
    <t>Operational partner; strong first contact if technical/startup fit.</t>
  </si>
  <si>
    <t>https://www.linkedin.com/search/results/people/?keywords=Jaime%20Novoa%20K%20Fund%20LinkedIn</t>
  </si>
  <si>
    <t>Nico Goulet</t>
  </si>
  <si>
    <t>Senior venture contact; good strategic route.</t>
  </si>
  <si>
    <t>https://www.linkedin.com/search/results/people/?keywords=Nico%20Goulet%20Adara%20Ventures%20LinkedIn</t>
  </si>
  <si>
    <t>Ross Strachan</t>
  </si>
  <si>
    <t>Potential operational partner; verify domain fit.</t>
  </si>
  <si>
    <t>https://www.linkedin.com/search/results/people/?keywords=Ross%20Strachan%20Adara%20Ventures%20LinkedIn</t>
  </si>
  <si>
    <t>Xavier Lazarus</t>
  </si>
  <si>
    <t>Elaia</t>
  </si>
  <si>
    <t>Deep tech, digital, AI, scientific startups</t>
  </si>
  <si>
    <t>Recognised European deeptech investor; relevant for complex tech diligence.</t>
  </si>
  <si>
    <t>https://www.elaia.com/</t>
  </si>
  <si>
    <t>Senior deeptech VC route.</t>
  </si>
  <si>
    <t>https://www.linkedin.com/search/results/people/?keywords=Xavier%20Lazarus%20Elaia%20LinkedIn</t>
  </si>
  <si>
    <t>Ask whether they ever need independent technical maturity reviews for deep tech, digital, ai, scientific startups startups.</t>
  </si>
  <si>
    <t>Marc Rougier</t>
  </si>
  <si>
    <t>Senior French VC route.</t>
  </si>
  <si>
    <t>https://www.linkedin.com/search/results/people/?keywords=Marc%20Rougier%20Elaia%20LinkedIn</t>
  </si>
  <si>
    <t>Pascal Cagni</t>
  </si>
  <si>
    <t>Hardtech, robotics, hardware, industrial, climate</t>
  </si>
  <si>
    <t>Very strong fit for physical systems and hardware/robotics diligence.</t>
  </si>
  <si>
    <t>https://www.hcvc.co/</t>
  </si>
  <si>
    <t>Chairman / Partner</t>
  </si>
  <si>
    <t>Senior route; good European hardware/deeptech credibility.</t>
  </si>
  <si>
    <t>https://www.linkedin.com/search/results/people/?keywords=Pascal%20Cagni%20HCVC%20LinkedIn</t>
  </si>
  <si>
    <t>Ask whether they ever need independent technical maturity reviews for hardtech, robotics, hardware, industrial, climate startups.</t>
  </si>
  <si>
    <t>Cyril Ebersweiler</t>
  </si>
  <si>
    <t>Strong hardware/HAX/deeptech route.</t>
  </si>
  <si>
    <t>https://www.linkedin.com/search/results/people/?keywords=Cyril%20Ebersweiler%20HCVC%20LinkedIn</t>
  </si>
  <si>
    <t>Gabriel Hubert</t>
  </si>
  <si>
    <t>https://www.linkedin.com/search/results/people/?keywords=Gabriel%20Hubert%20HCVC%20LinkedIn</t>
  </si>
  <si>
    <t>Alexis Houssou</t>
  </si>
  <si>
    <t>Hardware Club</t>
  </si>
  <si>
    <t>Hardware, robotics, industrial tech</t>
  </si>
  <si>
    <t>Direct fit for hardware/robotics startups and technical risk assessment.</t>
  </si>
  <si>
    <t>https://hardwareclub.co/</t>
  </si>
  <si>
    <t>Partner, Community Lead</t>
  </si>
  <si>
    <t>Founder / Partner</t>
  </si>
  <si>
    <t>Strong hardware/industrial contact.</t>
  </si>
  <si>
    <t>https://www.linkedin.com/search/results/people/?keywords=Alexis%20Houssou%20Hardware%20Club%20LinkedIn</t>
  </si>
  <si>
    <t>Ask whether they ever need independent technical maturity reviews for hardware, robotics, industrial tech startups.</t>
  </si>
  <si>
    <t>Barbara Belvisi</t>
  </si>
  <si>
    <t>Former founder / deeptech ecosystem</t>
  </si>
  <si>
    <t>Only use if current relationship verified.</t>
  </si>
  <si>
    <t>https://www.linkedin.com/search/results/people/?keywords=Barbara%20Belvisi%20Hardware%20Club%20LinkedIn</t>
  </si>
  <si>
    <t>Xavier Duportet</t>
  </si>
  <si>
    <t>Potential deeptech route; verify current involvement.</t>
  </si>
  <si>
    <t>https://www.linkedin.com/search/results/people/?keywords=Xavier%20Duportet%20Hello%20Tomorrow%20LinkedIn</t>
  </si>
  <si>
    <t>François Chopard</t>
  </si>
  <si>
    <t>Starburst Aerospace</t>
  </si>
  <si>
    <t>Aerospace, defence, autonomy, robotics</t>
  </si>
  <si>
    <t>Accelerator / CVC network</t>
  </si>
  <si>
    <t>Strong defence/aerospace/dual-use fit; technical readiness reviews are relevant.</t>
  </si>
  <si>
    <t>https://starburst.aero/</t>
  </si>
  <si>
    <t>Programme Director, Investment Lead</t>
  </si>
  <si>
    <t>Senior aerospace/defence route; good strategic contact.</t>
  </si>
  <si>
    <t>https://www.linkedin.com/search/results/people/?keywords=Fran%C3%A7ois%20Chopard%20Starburst%20Aerospace%20LinkedIn</t>
  </si>
  <si>
    <t>Ask whether they ever need independent technical maturity reviews for aerospace, defence, autonomy, robotics startups.</t>
  </si>
  <si>
    <t>Van Espahbodi</t>
  </si>
  <si>
    <t>Strong aerospace/defence investor route.</t>
  </si>
  <si>
    <t>https://www.linkedin.com/search/results/people/?keywords=Van%20Espahbodi%20Starburst%20Aerospace%20LinkedIn</t>
  </si>
  <si>
    <t>Luis Cañera</t>
  </si>
  <si>
    <t>Elizabeth Reynolds</t>
  </si>
  <si>
    <t>Investment / programme</t>
  </si>
  <si>
    <t>Potential operational contact; verify role.</t>
  </si>
  <si>
    <t>https://www.linkedin.com/search/results/people/?keywords=Elizabeth%20Reynolds%20Starburst%20Aerospace%20LinkedIn</t>
  </si>
  <si>
    <t>Paul-François Fournier</t>
  </si>
  <si>
    <t>Bpifrance</t>
  </si>
  <si>
    <t>Deep tech, industry, startups</t>
  </si>
  <si>
    <t>Funding / accelerator / ecosystem</t>
  </si>
  <si>
    <t>Huge French innovation actor; more complex access but valuable for deeptech programmes.</t>
  </si>
  <si>
    <t>https://www.bpifrance.com/</t>
  </si>
  <si>
    <t>Deeptech Programme Manager, Investment Director</t>
  </si>
  <si>
    <t>Executive Director, Innovation</t>
  </si>
  <si>
    <t>Strong senior route for innovation/deeptech programmes.</t>
  </si>
  <si>
    <t>https://www.linkedin.com/search/results/people/?keywords=Paul-Fran%C3%A7ois%20Fournier%20Bpifrance%20LinkedIn</t>
  </si>
  <si>
    <t>Ask whether they ever need independent technical maturity reviews for deep tech, industry, startups startups.</t>
  </si>
  <si>
    <t>Rachel Delacour</t>
  </si>
  <si>
    <t>Senior leader / innovation ecosystem</t>
  </si>
  <si>
    <t>Potential route; verify relevance.</t>
  </si>
  <si>
    <t>https://www.linkedin.com/search/results/people/?keywords=Rachel%20Delacour%20Bpifrance%20LinkedIn</t>
  </si>
  <si>
    <t>Bpifrance Deeptech Team</t>
  </si>
  <si>
    <t>Deeptech team</t>
  </si>
  <si>
    <t>Use generic route if named contact unclear.</t>
  </si>
  <si>
    <t>https://www.linkedin.com/search/results/people/?keywords=Bpifrance%20Deeptech%20Team%20Bpifrance%20LinkedIn</t>
  </si>
  <si>
    <t>Nard Sintenie</t>
  </si>
  <si>
    <t>Innovation Industries</t>
  </si>
  <si>
    <t>Deep tech, semiconductors, robotics-adjacent, industrial</t>
  </si>
  <si>
    <t>Strong Dutch deeptech investor; relevant for technical maturity assessments.</t>
  </si>
  <si>
    <t>https://innovationindustries.com/</t>
  </si>
  <si>
    <t>Senior Dutch deeptech VC contact.</t>
  </si>
  <si>
    <t>https://www.linkedin.com/search/results/people/?keywords=Nard%20Sintenie%20Innovation%20Industries%20LinkedIn</t>
  </si>
  <si>
    <t>Ask whether they ever need independent technical maturity reviews for deep tech, semiconductors, robotics-adjacent, industrial startups.</t>
  </si>
  <si>
    <t>Harm de Vries</t>
  </si>
  <si>
    <t>Senior contact; relevant to high-tech/industrial.</t>
  </si>
  <si>
    <t>https://www.linkedin.com/search/results/people/?keywords=Harm%20de%20Vries%20Innovation%20Industries%20LinkedIn</t>
  </si>
  <si>
    <t>Joost van de Wijgerd</t>
  </si>
  <si>
    <t>FORWARD.one</t>
  </si>
  <si>
    <t>Hardware, robotics, semiconductors, industrial tech</t>
  </si>
  <si>
    <t>Very strong fit for robotics/hardware diligence.</t>
  </si>
  <si>
    <t>https://forward.one/</t>
  </si>
  <si>
    <t>Strong hardware VC contact.</t>
  </si>
  <si>
    <t>https://www.linkedin.com/search/results/people/?keywords=Joost%20van%20de%20Wijgerd%20FORWARD.one%20LinkedIn</t>
  </si>
  <si>
    <t>Ask whether they ever need independent technical maturity reviews for hardware, robotics, semiconductors, industrial tech startups.</t>
  </si>
  <si>
    <t>Frank van de Velde</t>
  </si>
  <si>
    <t>Senior hardware/industrial investor route.</t>
  </si>
  <si>
    <t>https://www.linkedin.com/search/results/people/?keywords=Frank%20van%20de%20Velde%20FORWARD.one%20LinkedIn</t>
  </si>
  <si>
    <t>Richard Oehler</t>
  </si>
  <si>
    <t>Potential robotics/industrial investor; verify remit.</t>
  </si>
  <si>
    <t>https://www.linkedin.com/search/results/people/?keywords=Richard%20Oehler%20FORWARD.one%20LinkedIn</t>
  </si>
  <si>
    <t>Guus Frericks</t>
  </si>
  <si>
    <t>Founder / former CEO</t>
  </si>
  <si>
    <t>Senior ecosystem route; verify current involvement.</t>
  </si>
  <si>
    <t>https://www.linkedin.com/search/results/people/?keywords=Guus%20Frericks%20HighTechXL%20LinkedIn</t>
  </si>
  <si>
    <t>Harm Bongenaar</t>
  </si>
  <si>
    <t>Venture builder / programme</t>
  </si>
  <si>
    <t>https://www.linkedin.com/search/results/people/?keywords=Harm%20Bongenaar%20HighTechXL%20LinkedIn</t>
  </si>
  <si>
    <t>Tom Van de Perre</t>
  </si>
  <si>
    <t>Investment / programme lead</t>
  </si>
  <si>
    <t>https://www.linkedin.com/search/results/people/?keywords=Tom%20Van%20de%20Perre%20imec.istart%20LinkedIn</t>
  </si>
  <si>
    <t>imec.istart Investment Team</t>
  </si>
  <si>
    <t>Generic route if individual unclear.</t>
  </si>
  <si>
    <t>https://www.linkedin.com/search/results/people/?keywords=imec.istart%20Investment%20Team%20imec.istart%20LinkedIn</t>
  </si>
  <si>
    <t>Tom Vanhoutte</t>
  </si>
  <si>
    <t>imec.xpand</t>
  </si>
  <si>
    <t>Semiconductors, hardware, deep tech, AI</t>
  </si>
  <si>
    <t>Hardware/deeptech investor; strong technical diligence fit.</t>
  </si>
  <si>
    <t>https://www.imecxpand.com/</t>
  </si>
  <si>
    <t>Strong deeptech VC contact.</t>
  </si>
  <si>
    <t>https://www.linkedin.com/search/results/people/?keywords=Tom%20Vanhoutte%20imec.xpand%20LinkedIn</t>
  </si>
  <si>
    <t>Ask whether they ever need independent technical maturity reviews for semiconductors, hardware, deep tech, ai startups.</t>
  </si>
  <si>
    <t>Peter Pype</t>
  </si>
  <si>
    <t>Senior hardware/deeptech investor route.</t>
  </si>
  <si>
    <t>https://www.linkedin.com/search/results/people/?keywords=Peter%20Pype%20imec.xpand%20LinkedIn</t>
  </si>
  <si>
    <t>Kathleen Philips</t>
  </si>
  <si>
    <t>Relevant deeptech/semiconductor route.</t>
  </si>
  <si>
    <t>https://www.linkedin.com/search/results/people/?keywords=Kathleen%20Philips%20imec.xpand%20LinkedIn</t>
  </si>
  <si>
    <t>Inka Mero</t>
  </si>
  <si>
    <t>Nordics</t>
  </si>
  <si>
    <t>Voima Ventures</t>
  </si>
  <si>
    <t>Deep tech, science, hardware, AI</t>
  </si>
  <si>
    <t>Strong Nordic deeptech investor; good fit for technical diligence.</t>
  </si>
  <si>
    <t>https://www.voimaventures.com/</t>
  </si>
  <si>
    <t>Founder / Managing Partner</t>
  </si>
  <si>
    <t>Strong Nordic deeptech contact.</t>
  </si>
  <si>
    <t>https://www.linkedin.com/search/results/people/?keywords=Inka%20Mero%20Voima%20Ventures%20LinkedIn</t>
  </si>
  <si>
    <t>Ask whether they ever need independent technical maturity reviews for deep tech, science, hardware, ai startups.</t>
  </si>
  <si>
    <t>Tom Eriksson</t>
  </si>
  <si>
    <t>Senior deeptech investor route.</t>
  </si>
  <si>
    <t>https://www.linkedin.com/search/results/people/?keywords=Tom%20Eriksson%20Voima%20Ventures%20LinkedIn</t>
  </si>
  <si>
    <t>Mikko Suonenlahti</t>
  </si>
  <si>
    <t>Potential investment contact; verify domain fit.</t>
  </si>
  <si>
    <t>https://www.linkedin.com/search/results/people/?keywords=Mikko%20Suonenlahti%20Voima%20Ventures%20LinkedIn</t>
  </si>
  <si>
    <t>Timo Ahopelto</t>
  </si>
  <si>
    <t>Lifeline Ventures</t>
  </si>
  <si>
    <t>Deep tech, AI, hardware-adjacent</t>
  </si>
  <si>
    <t>Nordic technical founder investor; useful target.</t>
  </si>
  <si>
    <t>https://www.lifelineventures.com/</t>
  </si>
  <si>
    <t>Partner, Investor</t>
  </si>
  <si>
    <t>Senior Finnish VC route.</t>
  </si>
  <si>
    <t>https://www.linkedin.com/search/results/people/?keywords=Timo%20Ahopelto%20Lifeline%20Ventures%20LinkedIn</t>
  </si>
  <si>
    <t>Ask whether they ever need independent technical maturity reviews for deep tech, ai, hardware-adjacent startups.</t>
  </si>
  <si>
    <t>Petteri Koponen</t>
  </si>
  <si>
    <t>Senior VC route; broad startup ecosystem.</t>
  </si>
  <si>
    <t>https://www.linkedin.com/search/results/people/?keywords=Petteri%20Koponen%20Lifeline%20Ventures%20LinkedIn</t>
  </si>
  <si>
    <t>Ilkka Kivimäki</t>
  </si>
  <si>
    <t>Technical/operator route; verify fit.</t>
  </si>
  <si>
    <t>https://www.linkedin.com/search/results/people/?keywords=Ilkka%20Kivim%C3%A4ki%20Lifeline%20Ventures%20LinkedIn</t>
  </si>
  <si>
    <t>David Sonnek</t>
  </si>
  <si>
    <t>Industrifonden</t>
  </si>
  <si>
    <t>Deep tech, industrial tech, AI</t>
  </si>
  <si>
    <t>Large Swedish deeptech investor; relevant to robotics/industrial tech.</t>
  </si>
  <si>
    <t>https://industrifonden.com/</t>
  </si>
  <si>
    <t>Senior Swedish deeptech/industrial route.</t>
  </si>
  <si>
    <t>https://www.linkedin.com/search/results/people/?keywords=David%20Sonnek%20Industrifonden%20LinkedIn</t>
  </si>
  <si>
    <t>Ask whether they ever need independent technical maturity reviews for deep tech, industrial tech, ai startups.</t>
  </si>
  <si>
    <t>Anna Haupt</t>
  </si>
  <si>
    <t>Investment Director / partner</t>
  </si>
  <si>
    <t>Potential industrial tech contact; verify role.</t>
  </si>
  <si>
    <t>https://www.linkedin.com/search/results/people/?keywords=Anna%20Haupt%20Industrifonden%20LinkedIn</t>
  </si>
  <si>
    <t>Magnus Norsell</t>
  </si>
  <si>
    <t>https://www.linkedin.com/search/results/people/?keywords=Magnus%20Norsell%20Industrifonden%20LinkedIn</t>
  </si>
  <si>
    <t>Klementina Österberg</t>
  </si>
  <si>
    <t>Chalmers Ventures</t>
  </si>
  <si>
    <t>Deep tech, engineering, hardware</t>
  </si>
  <si>
    <t>Spinout / accelerator / seed</t>
  </si>
  <si>
    <t>Excellent fit for engineering startup readiness and review support.</t>
  </si>
  <si>
    <t>https://www.chalmersventures.com/</t>
  </si>
  <si>
    <t>Venture Builder, Investment Manager</t>
  </si>
  <si>
    <t>Strong venture builder/university spinout route.</t>
  </si>
  <si>
    <t>https://www.linkedin.com/search/results/people/?keywords=Klementina%20%C3%96sterberg%20Chalmers%20Ventures%20LinkedIn</t>
  </si>
  <si>
    <t>Ask whether they ever need independent technical maturity reviews for deep tech, engineering, hardware startups.</t>
  </si>
  <si>
    <t>Fredrik Rydell</t>
  </si>
  <si>
    <t>Potential first contact for technical spinouts.</t>
  </si>
  <si>
    <t>https://www.linkedin.com/search/results/people/?keywords=Fredrik%20Rydell%20Chalmers%20Ventures%20LinkedIn</t>
  </si>
  <si>
    <t>Henrik Jankringer</t>
  </si>
  <si>
    <t>Venture builder / investment</t>
  </si>
  <si>
    <t>https://www.linkedin.com/search/results/people/?keywords=Henrik%20Jankringer%20Chalmers%20Ventures%20LinkedIn</t>
  </si>
  <si>
    <t>Engineering, robotics, hardware, AI</t>
  </si>
  <si>
    <t>Incubator / accelerator</t>
  </si>
  <si>
    <t>Strong technical founder pipeline; potential office hours partner.</t>
  </si>
  <si>
    <t>https://www.skylab.dtu.dk/</t>
  </si>
  <si>
    <t>Programme Manager, Startup Lead</t>
  </si>
  <si>
    <t>Lars Pedersen</t>
  </si>
  <si>
    <t>Innovation / startup programme</t>
  </si>
  <si>
    <t>https://www.linkedin.com/search/results/people/?keywords=Lars%20Pedersen%20DTU%20Skylab%20LinkedIn</t>
  </si>
  <si>
    <t>DTU Skylab Startup Team</t>
  </si>
  <si>
    <t>Startup team</t>
  </si>
  <si>
    <t>Generic route if named contact unclear.</t>
  </si>
  <si>
    <t>https://www.linkedin.com/search/results/people/?keywords=DTU%20Skylab%20Startup%20Team%20DTU%20Skylab%20LinkedIn</t>
  </si>
  <si>
    <t>Peter Torstensen</t>
  </si>
  <si>
    <t>Danish Tech Challenge</t>
  </si>
  <si>
    <t>Hardware, deep tech, manufacturing, robotics-adjacent</t>
  </si>
  <si>
    <t>Direct fit for hardware/robotics readiness reviews.</t>
  </si>
  <si>
    <t>https://www.danishtechchallenge.dk/</t>
  </si>
  <si>
    <t>Programme Lead</t>
  </si>
  <si>
    <t>Programme / Danish Tech Challenge ecosystem</t>
  </si>
  <si>
    <t>https://www.linkedin.com/search/results/people/?keywords=Peter%20Torstensen%20Danish%20Tech%20Challenge%20LinkedIn</t>
  </si>
  <si>
    <t>Ask whether they ever need independent technical maturity reviews for hardware, deep tech, manufacturing, robotics-adjacent startups.</t>
  </si>
  <si>
    <t>Rasmus Lund</t>
  </si>
  <si>
    <t>Programme / hardware accelerator</t>
  </si>
  <si>
    <t>https://www.linkedin.com/search/results/people/?keywords=Rasmus%20Lund%20Danish%20Tech%20Challenge%20LinkedIn</t>
  </si>
  <si>
    <t>Danish Tech Challenge Team</t>
  </si>
  <si>
    <t>Programme team</t>
  </si>
  <si>
    <t>Generic route; use if named contact unclear.</t>
  </si>
  <si>
    <t>https://www.linkedin.com/search/results/people/?keywords=Danish%20Tech%20Challenge%20Team%20Danish%20Tech%20Challenge%20LinkedIn</t>
  </si>
  <si>
    <t>Marie-Helene Ametsreiter</t>
  </si>
  <si>
    <t>Speedinvest</t>
  </si>
  <si>
    <t>AI, quantum, defence, robotics, deep tech</t>
  </si>
  <si>
    <t>Pre-seed to Series A</t>
  </si>
  <si>
    <t>Official deeptech focus includes AI, quantum, defence and robotics; excellent fit.</t>
  </si>
  <si>
    <t>https://www.speedinvest.com/deep-tech</t>
  </si>
  <si>
    <t>General Partner / industrial tech</t>
  </si>
  <si>
    <t>Strong deeptech/industrial route; verify current remit.</t>
  </si>
  <si>
    <t>https://www.linkedin.com/search/results/people/?keywords=Marie-Helene%20Ametsreiter%20Speedinvest%20LinkedIn</t>
  </si>
  <si>
    <t>Ask whether they ever need independent technical maturity reviews for ai, quantum, defence, robotics, deep tech startups.</t>
  </si>
  <si>
    <t>Oliver Holle</t>
  </si>
  <si>
    <t>CEO / Managing Partner</t>
  </si>
  <si>
    <t>Senior route; strategic contact.</t>
  </si>
  <si>
    <t>https://www.linkedin.com/search/results/people/?keywords=Oliver%20Holle%20Speedinvest%20LinkedIn</t>
  </si>
  <si>
    <t>Daniel Keiper-Knorr</t>
  </si>
  <si>
    <t>Potential deeptech/industrial route; verify fit.</t>
  </si>
  <si>
    <t>https://www.linkedin.com/search/results/people/?keywords=Daniel%20Keiper-Knorr%20Speedinvest%20LinkedIn</t>
  </si>
  <si>
    <t>Andreas Riegler</t>
  </si>
  <si>
    <t>APEX Ventures</t>
  </si>
  <si>
    <t>Deep tech, AI, robotics-adjacent, space, quantum</t>
  </si>
  <si>
    <t>Strong European deeptech investor; good fit.</t>
  </si>
  <si>
    <t>https://www.apex.ventures/</t>
  </si>
  <si>
    <t>https://www.linkedin.com/search/results/people/?keywords=Andreas%20Riegler%20APEX%20Ventures%20LinkedIn</t>
  </si>
  <si>
    <t>Ask whether they ever need independent technical maturity reviews for deep tech, ai, robotics-adjacent, space, quantum startups.</t>
  </si>
  <si>
    <t>Markus Kainz</t>
  </si>
  <si>
    <t>Potential operational VC contact; verify domain fit.</t>
  </si>
  <si>
    <t>https://www.linkedin.com/search/results/people/?keywords=Markus%20Kainz%20APEX%20Ventures%20LinkedIn</t>
  </si>
  <si>
    <t>Thomas Halla</t>
  </si>
  <si>
    <t>Potential deeptech/industrial route; verify role.</t>
  </si>
  <si>
    <t>https://www.linkedin.com/search/results/people/?keywords=Thomas%20Halla%20APEX%20Ventures%20LinkedIn</t>
  </si>
  <si>
    <t>Michael Sidler</t>
  </si>
  <si>
    <t>Redalpine</t>
  </si>
  <si>
    <t>AI, deeptech, health, fintech</t>
  </si>
  <si>
    <t>Strong Swiss/European investor; some deeptech fit.</t>
  </si>
  <si>
    <t>https://redalpine.com/</t>
  </si>
  <si>
    <t>Senior Swiss VC contact.</t>
  </si>
  <si>
    <t>https://www.linkedin.com/search/results/people/?keywords=Michael%20Sidler%20Redalpine%20LinkedIn</t>
  </si>
  <si>
    <t>Ask whether they ever need independent technical maturity reviews for ai, deeptech, health, fintech startups.</t>
  </si>
  <si>
    <t>Peter Niederhauser</t>
  </si>
  <si>
    <t>Senior route; verify active role.</t>
  </si>
  <si>
    <t>https://www.linkedin.com/search/results/people/?keywords=Peter%20Niederhauser%20Redalpine%20LinkedIn</t>
  </si>
  <si>
    <t>Harald Nieder</t>
  </si>
  <si>
    <t>Potential deeptech investor route; verify domain fit.</t>
  </si>
  <si>
    <t>https://www.linkedin.com/search/results/people/?keywords=Harald%20Nieder%20Redalpine%20LinkedIn</t>
  </si>
  <si>
    <t>Pascal Mathis</t>
  </si>
  <si>
    <t>Founderful</t>
  </si>
  <si>
    <t>B2B, deeptech, AI, technical founders</t>
  </si>
  <si>
    <t>Swiss technical founder investor; possible fit for review support.</t>
  </si>
  <si>
    <t>https://www.founderful.com/</t>
  </si>
  <si>
    <t>https://www.linkedin.com/search/results/people/?keywords=Pascal%20Mathis%20Founderful%20LinkedIn</t>
  </si>
  <si>
    <t>Ask whether they ever need independent technical maturity reviews for b2b, deeptech, ai, technical founders startups.</t>
  </si>
  <si>
    <t>Lukas Weber</t>
  </si>
  <si>
    <t>Senior Swiss startup/investor route.</t>
  </si>
  <si>
    <t>https://www.linkedin.com/search/results/people/?keywords=Lukas%20Weber%20Founderful%20LinkedIn</t>
  </si>
  <si>
    <t>Alex Stöckl</t>
  </si>
  <si>
    <t>https://www.linkedin.com/search/results/people/?keywords=Alex%20St%C3%B6ckl%20Founderful%20LinkedIn</t>
  </si>
  <si>
    <t>Jordi Montserrat</t>
  </si>
  <si>
    <t>Venture Kick</t>
  </si>
  <si>
    <t>Deep tech, university spinouts, hardware</t>
  </si>
  <si>
    <t>Pre-seed / spinout</t>
  </si>
  <si>
    <t>High-quality Swiss spinout funnel; good for readiness reviews/office hours.</t>
  </si>
  <si>
    <t>https://www.venturekick.ch/</t>
  </si>
  <si>
    <t>Programme Manager, Jury/Startup Lead</t>
  </si>
  <si>
    <t>Strong Swiss startup programme route.</t>
  </si>
  <si>
    <t>https://www.linkedin.com/search/results/people/?keywords=Jordi%20Montserrat%20Venture%20Kick%20LinkedIn</t>
  </si>
  <si>
    <t>Ask whether they ever need independent technical maturity reviews for deep tech, university spinouts, hardware startups.</t>
  </si>
  <si>
    <t>Beat Schillig</t>
  </si>
  <si>
    <t>Co-Founder / board</t>
  </si>
  <si>
    <t>https://www.linkedin.com/search/results/people/?keywords=Beat%20Schillig%20Venture%20Kick%20LinkedIn</t>
  </si>
  <si>
    <t>Philippe Darbelley</t>
  </si>
  <si>
    <t>Programme / startup support</t>
  </si>
  <si>
    <t>https://www.linkedin.com/search/results/people/?keywords=Philippe%20Darbelley%20Venture%20Kick%20LinkedIn</t>
  </si>
  <si>
    <t>Katka Letzing</t>
  </si>
  <si>
    <t>Kickstart Innovation</t>
  </si>
  <si>
    <t>Deeptech, smart cities, food, finance, industry</t>
  </si>
  <si>
    <t>Good fit for pilot/deployment readiness in corporate innovation.</t>
  </si>
  <si>
    <t>https://www.kickstart-innovation.com/</t>
  </si>
  <si>
    <t>Programme Manager, Partnerships Lead</t>
  </si>
  <si>
    <t>Strong accelerator/corporate innovation contact.</t>
  </si>
  <si>
    <t>https://www.linkedin.com/search/results/people/?keywords=Katka%20Letzing%20Kickstart%20Innovation%20LinkedIn</t>
  </si>
  <si>
    <t>Ask whether they ever need independent technical maturity reviews for deeptech, smart cities, food, finance, industry startups.</t>
  </si>
  <si>
    <t>Patricia Schlenter</t>
  </si>
  <si>
    <t>Potential operational route; verify role.</t>
  </si>
  <si>
    <t>https://www.linkedin.com/search/results/people/?keywords=Patricia%20Schlenter%20Kickstart%20Innovation%20LinkedIn</t>
  </si>
  <si>
    <t>Kickstart Partnerships Team</t>
  </si>
  <si>
    <t>Partnerships team</t>
  </si>
  <si>
    <t>https://www.linkedin.com/search/results/people/?keywords=Kickstart%20Partnerships%20Team%20Kickstart%20Innovation%20LinkedIn</t>
  </si>
  <si>
    <t>Deeph Chana</t>
  </si>
  <si>
    <t>Europe</t>
  </si>
  <si>
    <t>NATO DIANA</t>
  </si>
  <si>
    <t>Defence, dual-use, autonomy, robotics, sensors</t>
  </si>
  <si>
    <t>Accelerator / challenge / test centres</t>
  </si>
  <si>
    <t>Excellent fit for dual-use robotics and technical readiness reviews.</t>
  </si>
  <si>
    <t>https://www.diana.nato.int/</t>
  </si>
  <si>
    <t>Programme Manager, Accelerator Lead, Test Centre Lead</t>
  </si>
  <si>
    <t>Strong senior defence innovation route.</t>
  </si>
  <si>
    <t>https://www.linkedin.com/search/results/people/?keywords=Deeph%20Chana%20NATO%20DIANA%20LinkedIn</t>
  </si>
  <si>
    <t>Ask whether they ever need independent technical maturity reviews for defence, dual-use, autonomy, robotics, sensors startups.</t>
  </si>
  <si>
    <t>Steve Waterhouse</t>
  </si>
  <si>
    <t>Chief Commercial Officer / ecosystem</t>
  </si>
  <si>
    <t>Potential route; verify current title.</t>
  </si>
  <si>
    <t>https://www.linkedin.com/search/results/people/?keywords=Steve%20Waterhouse%20NATO%20DIANA%20LinkedIn</t>
  </si>
  <si>
    <t>NATO DIANA Accelerator Team</t>
  </si>
  <si>
    <t>Accelerator team</t>
  </si>
  <si>
    <t>Generic programme route.</t>
  </si>
  <si>
    <t>https://www.linkedin.com/search/results/people/?keywords=NATO%20DIANA%20Accelerator%20Team%20NATO%20DIANA%20LinkedIn</t>
  </si>
  <si>
    <t>Laura Taverna</t>
  </si>
  <si>
    <t>EIT Manufacturing</t>
  </si>
  <si>
    <t>Manufacturing, automation, robotics, industrial AI</t>
  </si>
  <si>
    <t>Accelerator / scale-up / venture support</t>
  </si>
  <si>
    <t>Direct fit for industrial automation and robotics startups.</t>
  </si>
  <si>
    <t>https://www.eitmanufacturing.eu/</t>
  </si>
  <si>
    <t>Programme Manager, Business Creation Lead</t>
  </si>
  <si>
    <t>Innovation / startup programmes</t>
  </si>
  <si>
    <t>Potential manufacturing innovation contact; verify role.</t>
  </si>
  <si>
    <t>https://www.linkedin.com/search/results/people/?keywords=Laura%20Taverna%20EIT%20Manufacturing%20LinkedIn</t>
  </si>
  <si>
    <t>Ask whether they ever need independent technical maturity reviews for manufacturing, automation, robotics, industrial ai startups.</t>
  </si>
  <si>
    <t>Caroline Viarouge</t>
  </si>
  <si>
    <t>Senior route for programme partnership.</t>
  </si>
  <si>
    <t>https://www.linkedin.com/search/results/people/?keywords=Caroline%20Viarouge%20EIT%20Manufacturing%20LinkedIn</t>
  </si>
  <si>
    <t>EIT Manufacturing Business Creation Team</t>
  </si>
  <si>
    <t>Business creation team</t>
  </si>
  <si>
    <t>Generic route for startup review services.</t>
  </si>
  <si>
    <t>https://www.linkedin.com/search/results/people/?keywords=EIT%20Manufacturing%20Business%20Creation%20Team%20EIT%20Manufacturing%20LinkedIn</t>
  </si>
  <si>
    <t>Federico Menna</t>
  </si>
  <si>
    <t>EIT Digital</t>
  </si>
  <si>
    <t>AI, digital deeptech, industry, IoT</t>
  </si>
  <si>
    <t>Accelerator / scale-up</t>
  </si>
  <si>
    <t>Good for industrial AI/physical AI readiness support.</t>
  </si>
  <si>
    <t>https://www.eitdigital.eu/</t>
  </si>
  <si>
    <t>Programme Manager, Venture Support Lead</t>
  </si>
  <si>
    <t>Senior route; broader digital focus.</t>
  </si>
  <si>
    <t>https://www.linkedin.com/search/results/people/?keywords=Federico%20Menna%20EIT%20Digital%20LinkedIn</t>
  </si>
  <si>
    <t>Ask whether they ever need independent technical maturity reviews for ai, digital deeptech, industry, iot startups.</t>
  </si>
  <si>
    <t>Chahab Nastar</t>
  </si>
  <si>
    <t>Chief Innovation Officer</t>
  </si>
  <si>
    <t>Innovation/startup route; verify current remit.</t>
  </si>
  <si>
    <t>https://www.linkedin.com/search/results/people/?keywords=Chahab%20Nastar%20EIT%20Digital%20LinkedIn</t>
  </si>
  <si>
    <t>EIT Digital Accelerator Team</t>
  </si>
  <si>
    <t>https://www.linkedin.com/search/results/people/?keywords=EIT%20Digital%20Accelerator%20Team%20EIT%20Digital%20LinkedIn</t>
  </si>
  <si>
    <t>Michiel Scheffer</t>
  </si>
  <si>
    <t>EIC Accelerator</t>
  </si>
  <si>
    <t>Deep tech, robotics, hardware, AI</t>
  </si>
  <si>
    <t>Grant/equity readiness</t>
  </si>
  <si>
    <t>May not buy directly but critical ecosystem target and credibility channel.</t>
  </si>
  <si>
    <t>https://eic.ec.europa.eu/eic-funding-opportunities/eic-accelerator_en</t>
  </si>
  <si>
    <t>Programme / Jury / Ecosystem contact</t>
  </si>
  <si>
    <t>EIC Board President</t>
  </si>
  <si>
    <t>Senior policy route; not direct buyer.</t>
  </si>
  <si>
    <t>https://www.linkedin.com/search/results/people/?keywords=Michiel%20Scheffer%20EIC%20Accelerator%20LinkedIn</t>
  </si>
  <si>
    <t>Ask whether they ever need independent technical maturity reviews for deep tech, robotics, hardware, ai startups.</t>
  </si>
  <si>
    <t>European Innovation Council Programme Manager</t>
  </si>
  <si>
    <t>Programme manager</t>
  </si>
  <si>
    <t>Generic route; find specific domain lead.</t>
  </si>
  <si>
    <t>https://www.linkedin.com/search/results/people/?keywords=European%20Innovation%20Council%20Programme%20Manager%20EIC%20Accelerator%20LinkedIn</t>
  </si>
  <si>
    <t>EIC Accelerator Expert Evaluator Team</t>
  </si>
  <si>
    <t>Expert evaluator route</t>
  </si>
  <si>
    <t>Apply/register route rather than cold buyer.</t>
  </si>
  <si>
    <t>https://www.linkedin.com/search/results/people/?keywords=EIC%20Accelerator%20Expert%20Evaluator%20Team%20EIC%20Accelerator%20LinkedIn</t>
  </si>
  <si>
    <t>Robotics, deeptech, engineering innovation</t>
  </si>
  <si>
    <t>Directly aligned with Actuated Minds offer; high priority for office hours and review package.</t>
  </si>
  <si>
    <t>https://startupbootcamp.org/accelerator/deeptech-robotics</t>
  </si>
  <si>
    <t>Programme Director, Mentor Lead</t>
  </si>
  <si>
    <t>Ruud Hendriks</t>
  </si>
  <si>
    <t>https://www.linkedin.com/search/results/people/?keywords=Ruud%20Hendriks%20Startupbootcamp%20DeepTech%20%26%20Robotics%20LinkedIn</t>
  </si>
  <si>
    <t>Startupbootcamp DeepTech &amp; Robotics Programme Team</t>
  </si>
  <si>
    <t>Best generic route if named lead unclear.</t>
  </si>
  <si>
    <t>https://www.linkedin.com/search/results/people/?keywords=Startupbootcamp%20DeepTech%20%26%20Robotics%20Programme%20Team%20Startupbootcamp%20DeepTech%20%26%20Robotics%20LinkedIn</t>
  </si>
  <si>
    <t>Hardtech, robotics, industrial, climate hardware</t>
  </si>
  <si>
    <t>Pre-seed/seed accelerator</t>
  </si>
  <si>
    <t>Global hardtech accelerator; ideal buyer/partner for technical review playbook.</t>
  </si>
  <si>
    <t>https://hax.co/</t>
  </si>
  <si>
    <t>Programme Lead, Partner</t>
  </si>
  <si>
    <t>Garrett Winther</t>
  </si>
  <si>
    <t>Partner, HAX</t>
  </si>
  <si>
    <t>Strong hardware/industrial investor route.</t>
  </si>
  <si>
    <t>https://www.linkedin.com/search/results/people/?keywords=Garrett%20Winther%20SOSV%20HAX%20LinkedIn</t>
  </si>
  <si>
    <t>Sean O'Sullivan</t>
  </si>
  <si>
    <t>Managing General Partner, SOSV</t>
  </si>
  <si>
    <t>https://www.linkedin.com/search/results/people/?keywords=Sean%20O%27Sullivan%20SOSV%20HAX%20LinkedIn</t>
  </si>
  <si>
    <t>Sonia Sennik</t>
  </si>
  <si>
    <t>Creative Destruction Lab</t>
  </si>
  <si>
    <t>Deep tech, AI, robotics-adjacent, climate</t>
  </si>
  <si>
    <t>Seed / accelerator</t>
  </si>
  <si>
    <t>CDL streams involve technical/science startups; useful for office hours and readiness reviews.</t>
  </si>
  <si>
    <t>https://creativedestructionlab.com/</t>
  </si>
  <si>
    <t>Site Director, Stream Lead</t>
  </si>
  <si>
    <t>https://www.linkedin.com/search/results/people/?keywords=Sonia%20Sennik%20Creative%20Destruction%20Lab%20LinkedIn</t>
  </si>
  <si>
    <t>Ask whether they ever need independent technical maturity reviews for deep tech, ai, robotics-adjacent, climate startups.</t>
  </si>
  <si>
    <t>Ajay Agrawal</t>
  </si>
  <si>
    <t>Founder / academic lead</t>
  </si>
  <si>
    <t>Senior strategic route.</t>
  </si>
  <si>
    <t>https://www.linkedin.com/search/results/people/?keywords=Ajay%20Agrawal%20Creative%20Destruction%20Lab%20LinkedIn</t>
  </si>
  <si>
    <t>CDL Stream Lead - Matter / Space / AI</t>
  </si>
  <si>
    <t>Programme stream lead</t>
  </si>
  <si>
    <t>Find domain-specific lead for robotics/AI/hardware.</t>
  </si>
  <si>
    <t>https://www.linkedin.com/search/results/people/?keywords=CDL%20Stream%20Lead%20-%20Matter%20/%20Space%20/%20AI%20Creative%20Destruction%20Lab%20LinkedIn</t>
  </si>
  <si>
    <t>Bruce Leak</t>
  </si>
  <si>
    <t>Playground Global</t>
  </si>
  <si>
    <t>Robotics, automation, AI, hardware, frontier tech</t>
  </si>
  <si>
    <t>One of the strongest global fits for physical AI and robotics technical diligence, but competitive access.</t>
  </si>
  <si>
    <t>https://playground.vc/</t>
  </si>
  <si>
    <t>Senior frontier tech investor; strong fit.</t>
  </si>
  <si>
    <t>https://www.linkedin.com/search/results/people/?keywords=Bruce%20Leak%20Playground%20Global%20LinkedIn</t>
  </si>
  <si>
    <t>Ask whether they ever need independent technical maturity reviews for robotics, automation, ai, hardware, frontier tech startups.</t>
  </si>
  <si>
    <t>Peter Barrett</t>
  </si>
  <si>
    <t>Deeptech/robotics-adjacent investor route.</t>
  </si>
  <si>
    <t>https://www.linkedin.com/search/results/people/?keywords=Peter%20Barrett%20Playground%20Global%20LinkedIn</t>
  </si>
  <si>
    <t>Jory Bell</t>
  </si>
  <si>
    <t>Hardware/AI/infrastructure investor route; verify remit.</t>
  </si>
  <si>
    <t>https://www.linkedin.com/search/results/people/?keywords=Jory%20Bell%20Playground%20Global%20LinkedIn</t>
  </si>
  <si>
    <t>Lior Susan</t>
  </si>
  <si>
    <t>Strong industrial/physical tech VC contact.</t>
  </si>
  <si>
    <t>https://www.linkedin.com/search/results/people/?keywords=Lior%20Susan%20Eclipse%20Ventures%20LinkedIn</t>
  </si>
  <si>
    <t>Charly Mwangi</t>
  </si>
  <si>
    <t>Manufacturing/industrial operator; strong fit.</t>
  </si>
  <si>
    <t>https://www.linkedin.com/search/results/people/?keywords=Charly%20Mwangi%20Eclipse%20Ventures%20LinkedIn</t>
  </si>
  <si>
    <t>Matt Ocko</t>
  </si>
  <si>
    <t>DCVC</t>
  </si>
  <si>
    <t>Deep tech, robotics-adjacent, AI, hardware</t>
  </si>
  <si>
    <t>Strong deeptech investor; good strategic target.</t>
  </si>
  <si>
    <t>https://www.dcvc.com/</t>
  </si>
  <si>
    <t>Senior deeptech VC contact.</t>
  </si>
  <si>
    <t>https://www.linkedin.com/search/results/people/?keywords=Matt%20Ocko%20DCVC%20LinkedIn</t>
  </si>
  <si>
    <t>Ask whether they ever need independent technical maturity reviews for deep tech, robotics-adjacent, ai, hardware startups.</t>
  </si>
  <si>
    <t>Kelly Chen</t>
  </si>
  <si>
    <t>Potential deeptech/AI investor route; verify remit.</t>
  </si>
  <si>
    <t>https://www.linkedin.com/search/results/people/?keywords=Kelly%20Chen%20DCVC%20LinkedIn</t>
  </si>
  <si>
    <t>Josh Wolfe</t>
  </si>
  <si>
    <t>Lux Capital</t>
  </si>
  <si>
    <t>Deep tech, robotics, defence, AI, hardware</t>
  </si>
  <si>
    <t>Premier deeptech/defence investor; long shot but high relevance.</t>
  </si>
  <si>
    <t>https://www.luxcapital.com/</t>
  </si>
  <si>
    <t>Senior deeptech investor; strategic contact.</t>
  </si>
  <si>
    <t>https://www.linkedin.com/search/results/people/?keywords=Josh%20Wolfe%20Lux%20Capital%20LinkedIn</t>
  </si>
  <si>
    <t>Ask whether they ever need independent technical maturity reviews for deep tech, robotics, defence, ai, hardware startups.</t>
  </si>
  <si>
    <t>Brandon Reeves</t>
  </si>
  <si>
    <t>Hardware/deeptech investor; strong fit.</t>
  </si>
  <si>
    <t>https://www.linkedin.com/search/results/people/?keywords=Brandon%20Reeves%20Lux%20Capital%20LinkedIn</t>
  </si>
  <si>
    <t>Bilal Zuberi</t>
  </si>
  <si>
    <t>Deeptech/hardtech investor; strong fit.</t>
  </si>
  <si>
    <t>https://www.linkedin.com/search/results/people/?keywords=Bilal%20Zuberi%20Lux%20Capital%20LinkedIn</t>
  </si>
  <si>
    <t>Fady Saad</t>
  </si>
  <si>
    <t>Cybernetix Ventures</t>
  </si>
  <si>
    <t>Robotics, automation, industrial AI</t>
  </si>
  <si>
    <t>Direct robotics/automation VC; strong fit for technical review expertise.</t>
  </si>
  <si>
    <t>https://www.cybernetix.vc/</t>
  </si>
  <si>
    <t>Founder / General Partner</t>
  </si>
  <si>
    <t>Excellent robotics/automation investor contact.</t>
  </si>
  <si>
    <t>https://www.linkedin.com/search/results/people/?keywords=Fady%20Saad%20Cybernetix%20Ventures%20LinkedIn</t>
  </si>
  <si>
    <t>Ask whether they ever need independent technical maturity reviews for robotics, automation, industrial ai startups.</t>
  </si>
  <si>
    <t>Mark Martin</t>
  </si>
  <si>
    <t>Venture Partner / robotics ecosystem</t>
  </si>
  <si>
    <t>Potential robotics contact; verify current role.</t>
  </si>
  <si>
    <t>https://www.linkedin.com/search/results/people/?keywords=Mark%20Martin%20Cybernetix%20Ventures%20LinkedIn</t>
  </si>
  <si>
    <t>Cybernetix Ventures Investment Team</t>
  </si>
  <si>
    <t>https://www.linkedin.com/search/results/people/?keywords=Cybernetix%20Ventures%20Investment%20Team%20Cybernetix%20Ventures%20LinkedIn</t>
  </si>
  <si>
    <t>Lisa Coca</t>
  </si>
  <si>
    <t>Mobility, robotics, AI, climate</t>
  </si>
  <si>
    <t>Corporate VC with robotics/mobility relevance; high-value target.</t>
  </si>
  <si>
    <t>https://www.toyota.ventures/</t>
  </si>
  <si>
    <t>Investment Partner, Principal</t>
  </si>
  <si>
    <t>Climate/frontier investor route; verify fit for robotics.</t>
  </si>
  <si>
    <t>https://www.linkedin.com/search/results/people/?keywords=Lisa%20Coca%20Toyota%20Ventures%20LinkedIn</t>
  </si>
  <si>
    <t>Chris Abshire</t>
  </si>
  <si>
    <t>Investment team / frontier tech</t>
  </si>
  <si>
    <t>Potential first contact; verify current role.</t>
  </si>
  <si>
    <t>https://www.linkedin.com/search/results/people/?keywords=Chris%20Abshire%20Toyota%20Ventures%20LinkedIn</t>
  </si>
  <si>
    <t>Logistics, robotics, supply chain, automation</t>
  </si>
  <si>
    <t>Strategic investment</t>
  </si>
  <si>
    <t>Direct fit with robotics/logistics automation; likely hard to access but relevant.</t>
  </si>
  <si>
    <t>https://www.aboutamazon.com/news/innovation-at-amazon/amazon-industrial-innovation-fund</t>
  </si>
  <si>
    <t>Investment Lead, Principal</t>
  </si>
  <si>
    <t>Joseba Sagastigordia</t>
  </si>
  <si>
    <t>MONDRAGON VENTURES</t>
  </si>
  <si>
    <t>Katherine Chen</t>
  </si>
  <si>
    <t>Investment / Amazon industrial innovation</t>
  </si>
  <si>
    <t>Potential route; verify current role.</t>
  </si>
  <si>
    <t>https://www.linkedin.com/search/results/people/?keywords=Katherine%20Chen%20Amazon%20Industrial%20Innovation%20Fund%20LinkedIn</t>
  </si>
  <si>
    <t>Amazon Industrial Innovation Fund Team</t>
  </si>
  <si>
    <t>Generic route; use source page/contact if named contacts unclear.</t>
  </si>
  <si>
    <t>https://www.linkedin.com/search/results/people/?keywords=Amazon%20Industrial%20Innovation%20Fund%20Team%20Amazon%20Industrial%20Innovation%20Fund%20LinkedIn</t>
  </si>
  <si>
    <t>AI, robotics, simulation, autonomous systems</t>
  </si>
  <si>
    <t>Relevant to physical AI, robotics and simulation startups; strong but hard access.</t>
  </si>
  <si>
    <t>https://www.nvidia.com/en-us/about-nvidia/investor-relations/nventures/</t>
  </si>
  <si>
    <t>Investment Lead</t>
  </si>
  <si>
    <t>Mohamed Siddeek</t>
  </si>
  <si>
    <t>Corporate VP / venture investments</t>
  </si>
  <si>
    <t>Senior NVIDIA venture route; verify current role.</t>
  </si>
  <si>
    <t>https://www.linkedin.com/search/results/people/?keywords=Mohamed%20Siddeek%20NVentures%20LinkedIn</t>
  </si>
  <si>
    <t>NVentures Investment Team</t>
  </si>
  <si>
    <t>Generic route; find domain lead for robotics/physical AI.</t>
  </si>
  <si>
    <t>https://www.linkedin.com/search/results/people/?keywords=NVentures%20Investment%20Team%20NVentures%20LinkedIn</t>
  </si>
  <si>
    <t>Charles Urquhart MORGAN</t>
  </si>
  <si>
    <t>United Kingdom / United States</t>
  </si>
  <si>
    <t>Artificial Intelligence; Robotics; Software; Medical; Deeptech</t>
  </si>
  <si>
    <t>Pre-seed / Seed / Series A</t>
  </si>
  <si>
    <t>Listed as an AI angel investor with robotics exposure; likely useful for feedback, intros or small angel diligence use case.</t>
  </si>
  <si>
    <t>https://shizune.co/investors/artificial-intelligence-angel-investors-united-kingdom</t>
  </si>
  <si>
    <t>Individual angel / syndicate connector</t>
  </si>
  <si>
    <t>https://www.linkedin.com/search/results/people/?keywords=Charles+Morgan+Individual+Angel</t>
  </si>
  <si>
    <t>Ask for feedback on technical investment risk reviews for angel investors backing AI/robotics startups.</t>
  </si>
  <si>
    <t>Francesco Perticarari</t>
  </si>
  <si>
    <t>Silicon Roundabout Ventures / Angel</t>
  </si>
  <si>
    <t>Artificial Intelligence; Software; Deeptech; UK/EU startups</t>
  </si>
  <si>
    <t>UK/EU angel with AI/deeptech relevance; likely closer to small funds and angel syndicates than large institutional VCs.</t>
  </si>
  <si>
    <t>Angel / micro-fund investor</t>
  </si>
  <si>
    <t>https://www.linkedin.com/search/results/people/?keywords=Francesco+Perticarari+Silicon+Roundabout+Ventures+%2F+Angel</t>
  </si>
  <si>
    <t>Position Actuated Minds as external technical evidence review for small angel-led rounds.</t>
  </si>
  <si>
    <t>Reece Chowdhry</t>
  </si>
  <si>
    <t>United Kingdom / North America</t>
  </si>
  <si>
    <t>RLC Ventures / Angel</t>
  </si>
  <si>
    <t>Angel / Seed VC</t>
  </si>
  <si>
    <t>Artificial Intelligence; Software; FinTech; early-stage</t>
  </si>
  <si>
    <t>Active UK-linked angel/seed investor; may know angel syndicates and small funds that lack deep robotics diligence capacity.</t>
  </si>
  <si>
    <t>Angel / micro-VC connector</t>
  </si>
  <si>
    <t>Angel / early-stage investor</t>
  </si>
  <si>
    <t>https://www.linkedin.com/search/results/people/?keywords=Reece+Chowdhry+RLC+Ventures+%2F+Angel</t>
  </si>
  <si>
    <t>Ask whether smaller investors would buy independent technical diligence for hard-tech/physical AI deals.</t>
  </si>
  <si>
    <t>Stephen Whitworth</t>
  </si>
  <si>
    <t>Artificial Intelligence; Software; Internet</t>
  </si>
  <si>
    <t>AI angel profile with UK/US exposure; useful as connector to smaller AI angels.</t>
  </si>
  <si>
    <t>https://www.linkedin.com/search/results/people/?keywords=Stephen+Whitworth+Individual+Angel</t>
  </si>
  <si>
    <t>Ask for feedback and angel-network referrals rather than direct sale.</t>
  </si>
  <si>
    <t>Graham Clempson</t>
  </si>
  <si>
    <t>Software; Retail Technology; Information Services; AI-adjacent</t>
  </si>
  <si>
    <t>Angel / Seed</t>
  </si>
  <si>
    <t>Individual angel profile; less robotics-specific but may know early-stage investor circles.</t>
  </si>
  <si>
    <t>Individual angel / connector</t>
  </si>
  <si>
    <t>https://www.linkedin.com/search/results/people/?keywords=Graham+Clempson+Individual+Angel</t>
  </si>
  <si>
    <t>Use as connector: ask which angel groups lack technical diligence capacity.</t>
  </si>
  <si>
    <t>Charlie Songhurst</t>
  </si>
  <si>
    <t>Songhurst Group / Individual Angel</t>
  </si>
  <si>
    <t>AI; Deeptech; Software; Infrastructure</t>
  </si>
  <si>
    <t>Prominent individual angel with deeptech/AI exposure; useful but high-profile and difficult to reach.</t>
  </si>
  <si>
    <t>https://pipeseed.com/investor/charlie-songhurst-801401</t>
  </si>
  <si>
    <t>Super-angel / technical investor</t>
  </si>
  <si>
    <t>https://www.linkedin.com/search/results/people/?keywords=Charlie+Songhurst+Songhurst+Group+%2F+Individual+Angel</t>
  </si>
  <si>
    <t>Frame around independent engineering evidence review below the executive narrative.</t>
  </si>
  <si>
    <t>Investment Team</t>
  </si>
  <si>
    <t>Cambridge Angels</t>
  </si>
  <si>
    <t>Deeptech; AI; Robotics-adjacent; University spinouts; Hardware</t>
  </si>
  <si>
    <t>Angel network close to Cambridge deeptech and spinouts; likely values external technical review capacity for physical tech deals.</t>
  </si>
  <si>
    <t>https://www.cambridgeangels.com/</t>
  </si>
  <si>
    <t>Angel network manager / deal lead</t>
  </si>
  <si>
    <t>https://www.linkedin.com/search/results/people/?keywords=Investment+Team+Cambridge+Angels</t>
  </si>
  <si>
    <t>Offer Lite technical maturity reviews for selected physical AI/deeptech angel deals.</t>
  </si>
  <si>
    <t>Dominic Keen / Alex Pejacsevich</t>
  </si>
  <si>
    <t>Britbots / Star Bots Fund</t>
  </si>
  <si>
    <t>Micro VC / Robotics Fund</t>
  </si>
  <si>
    <t>Robotics; Automation; Physical AI; Applied intelligence</t>
  </si>
  <si>
    <t>Late seed / Series A</t>
  </si>
  <si>
    <t>Focused robotics investor; strong strategic fit even if they have expertise — value is independent structured evidence review and portfolio support.</t>
  </si>
  <si>
    <t>https://starbotsfund.com/</t>
  </si>
  <si>
    <t>GP / fund partner</t>
  </si>
  <si>
    <t>https://www.linkedin.com/search/results/people/?keywords=Dominic+Keen+%2F+Alex+Pejacsevich+Britbots+%2F+Star+Bots+Fund</t>
  </si>
  <si>
    <t>Position as structured review capacity for dealflow and portfolio/pilot readiness.</t>
  </si>
  <si>
    <t>Fernando García Abasolo</t>
  </si>
  <si>
    <t>Machine Learning; AI; Spanish startups</t>
  </si>
  <si>
    <t>Pre-seed</t>
  </si>
  <si>
    <t>Spanish ML angel; useful connector to local small AI/deeptech angel circles.</t>
  </si>
  <si>
    <t>https://www.linkedin.com/search/results/people/?keywords=Fernando+Garc%C3%ADa+Abasolo+Individual+Angel</t>
  </si>
  <si>
    <t>Ask for feedback on whether Spanish angels need independent technical risk review for AI/physical AI deals.</t>
  </si>
  <si>
    <t>Jesús Monleón</t>
  </si>
  <si>
    <t>Spain / United Kingdom</t>
  </si>
  <si>
    <t>Software; Apps; FinTech; AI-adjacent</t>
  </si>
  <si>
    <t>Spanish/UK angel profile; less robotics-specific but could introduce local angel networks.</t>
  </si>
  <si>
    <t>https://www.linkedin.com/search/results/people/?keywords=Jes%C3%BAs+Monle%C3%B3n+Individual+Angel</t>
  </si>
  <si>
    <t>Use as connector to Spanish angel and startup ecosystem; ask for feedback not direct sale.</t>
  </si>
  <si>
    <t>Juanjo Mostazo</t>
  </si>
  <si>
    <t>Spain / LatAm</t>
  </si>
  <si>
    <t>Artificial Intelligence; B2B; SaaS; Spain; Colombia</t>
  </si>
  <si>
    <t>AI/B2B angel in Spanish-speaking ecosystem; relevant for intros to smaller angels.</t>
  </si>
  <si>
    <t>Angel / ecosystem connector</t>
  </si>
  <si>
    <t>https://www.linkedin.com/search/results/people/?keywords=Juanjo+Mostazo+Individual+Angel</t>
  </si>
  <si>
    <t>Ask if technical diligence is useful for Spanish AI/deeptech syndicates.</t>
  </si>
  <si>
    <t>Luis Martin Cabiedes</t>
  </si>
  <si>
    <t>Individual Angel / Cabiedes &amp; Partners</t>
  </si>
  <si>
    <t>Angel / Seed Investor</t>
  </si>
  <si>
    <t>Software; Internet; SaaS; Spanish startups</t>
  </si>
  <si>
    <t>Seed / Angel</t>
  </si>
  <si>
    <t>Well-known Spanish early-stage investor; not robotics-specific but valuable connector to Spanish angel/VC networks.</t>
  </si>
  <si>
    <t>Angel / seed investor</t>
  </si>
  <si>
    <t>https://www.linkedin.com/search/results/people/?keywords=Luis+Martin+Cabiedes+Individual+Angel+%2F+Cabiedes+%26+Partners</t>
  </si>
  <si>
    <t>Ask for feedback on buyer segmentation: angels vs accelerators vs seed funds.</t>
  </si>
  <si>
    <t>Andrea Harrison Tsinontas</t>
  </si>
  <si>
    <t>Andreas Mihalovits</t>
  </si>
  <si>
    <t>Spain / UK / US</t>
  </si>
  <si>
    <t>Software; IT; SaaS; Spain/UK/US</t>
  </si>
  <si>
    <t>Cross-border angel profile; potential connector rather than direct robotics buyer.</t>
  </si>
  <si>
    <t>https://www.linkedin.com/search/results/people/?keywords=Andreas+Mihalovits+Individual+Angel</t>
  </si>
  <si>
    <t>Use as connector to small cross-border angels investing in technical startups.</t>
  </si>
  <si>
    <t>Axel Serena</t>
  </si>
  <si>
    <t>Software; Internet; Spain</t>
  </si>
  <si>
    <t>Spanish angel profile; low robotics fit but useful for startup ecosystem reach.</t>
  </si>
  <si>
    <t>https://www.linkedin.com/search/results/people/?keywords=Axel+Serena+Individual+Angel</t>
  </si>
  <si>
    <t>Ask for intros to angels evaluating AI/deeptech deals rather than direct commercial call.</t>
  </si>
  <si>
    <t>Hola Enrique:
Sin duda el servicio tiene valor y DEBERIA ser solicitado por VC como parte de una due diligence. Lo que no sé si el mercado VC espańol tiene la madurez para solicitar esos servicios. Usualmente que cuesta?
Saludos
Axel</t>
  </si>
  <si>
    <t>Dusan Stojanovic / Partner Investors team</t>
  </si>
  <si>
    <t>Germany / Switzerland / Europe</t>
  </si>
  <si>
    <t>b2venture</t>
  </si>
  <si>
    <t>Seed VC / Angel Network</t>
  </si>
  <si>
    <t>Deeptech; Robotics; B2B; SaaS; Partner Investors</t>
  </si>
  <si>
    <t>b2venture has a large partner-investor network; source highlights robotics-relevant deals and angel-like co-investor model.</t>
  </si>
  <si>
    <t>https://pipeseed.com/investor/b2venture-330442</t>
  </si>
  <si>
    <t>Partner / partner-investor network lead</t>
  </si>
  <si>
    <t>https://www.linkedin.com/search/results/people/?keywords=Dusan+Stojanovic+%2F+Partner+Investors+team+b2venture</t>
  </si>
  <si>
    <t>Pitch as external structured technical review for partner-investor network robotics/deeptech deals.</t>
  </si>
  <si>
    <t>Taro Fukuyama</t>
  </si>
  <si>
    <t>United States / Japan / UK</t>
  </si>
  <si>
    <t>Artificial Intelligence; Software; Robotics</t>
  </si>
  <si>
    <t>Listed US AI angel with robotics focus; relevant individual prospect for small investor angle.</t>
  </si>
  <si>
    <t>https://www.linkedin.com/search/results/people/?keywords=Taro+Fukuyama+Individual+Angel</t>
  </si>
  <si>
    <t>Ask for feedback on technical risk review for angels evaluating physical AI/robotics startups.</t>
  </si>
  <si>
    <t>Kyle Vogt</t>
  </si>
  <si>
    <t>United States / Singapore</t>
  </si>
  <si>
    <t>Artificial Intelligence; Software; Robotics; Autonomy</t>
  </si>
  <si>
    <t>Robotics/autonomy founder with angel profile; valuable for feedback, intros and credibility-building.</t>
  </si>
  <si>
    <t>Founder-angel / robotics operator</t>
  </si>
  <si>
    <t>https://www.linkedin.com/search/results/people/?keywords=Kyle+Vogt+Individual+Angel</t>
  </si>
  <si>
    <t>Emphasise hands-on engineering evidence review and acceptable-risk-for-next-milestone framing.</t>
  </si>
  <si>
    <t>George Godula</t>
  </si>
  <si>
    <t>China / United States / UK</t>
  </si>
  <si>
    <t>Robotics; Logistics; Manufacturing marketplaces; AI</t>
  </si>
  <si>
    <t>Angel profile with robotics/logistics/manufacturing exposure; potential connector into US/Asia robotics circles.</t>
  </si>
  <si>
    <t>https://pipeseed.com/investor/george-godula-218241</t>
  </si>
  <si>
    <t>https://www.linkedin.com/search/results/people/?keywords=George+Godula+Individual+Angel</t>
  </si>
  <si>
    <t>Ask for feedback and intros to angels investing in robotics/manufacturing automation.</t>
  </si>
  <si>
    <t>Georges Harik</t>
  </si>
  <si>
    <t>United States / UK</t>
  </si>
  <si>
    <t>Artificial Intelligence; Machine Learning; Software; Robotics-adjacent</t>
  </si>
  <si>
    <t>High-profile technical angel; hard to reach but relevant to AI/technical diligence narrative.</t>
  </si>
  <si>
    <t>https://www.linkedin.com/search/results/people/?keywords=Georges+Harik+Individual+Angel</t>
  </si>
  <si>
    <t>Use concise message: technical risk hidden behind demos; ask for view or intro.</t>
  </si>
  <si>
    <t>Gokul Rajaram</t>
  </si>
  <si>
    <t>Artificial Intelligence; Software; B2B; Seed</t>
  </si>
  <si>
    <t>Very active AI angel; not robotics-specific but relevant to AI diligence and angel network access.</t>
  </si>
  <si>
    <t>https://www.linkedin.com/search/results/people/?keywords=Gokul+Rajaram+Individual+Angel</t>
  </si>
  <si>
    <t>Ask for feedback on whether angel investors would use independent technical maturity reviews.</t>
  </si>
  <si>
    <t>Europe / Global</t>
  </si>
  <si>
    <t>Superangel</t>
  </si>
  <si>
    <t>Angel-led seed VC</t>
  </si>
  <si>
    <t>AI; B2B; Deeptech-adjacent; European startups</t>
  </si>
  <si>
    <t>Angel-led seed investor; could be open to external specialist reviews for more technical deals.</t>
  </si>
  <si>
    <t>https://superangel.io/</t>
  </si>
  <si>
    <t>Partner / investment team</t>
  </si>
  <si>
    <t>https://www.linkedin.com/search/results/people/?keywords=Europe+%2F+Global+Superangel</t>
  </si>
  <si>
    <t>Ask for feedback on technical review for angel-led seed investors.</t>
  </si>
  <si>
    <t>Alan Morgan</t>
  </si>
  <si>
    <t>Individual angel investor</t>
  </si>
  <si>
    <t>Angel / Small Investor</t>
  </si>
  <si>
    <t>Robotics, automation, physical AI, AI/deeptech</t>
  </si>
  <si>
    <t>Pre-seed / Seed / angel cheque / syndicate deal / pilot-readiness decision</t>
  </si>
  <si>
    <t>Potential fit for Actuated Minds because smaller angel/syndicate investors may see robotics, automation, AI or deeptech deals without a large internal technical diligence team.</t>
  </si>
  <si>
    <t>Angel investor / small investor / syndicate lead</t>
  </si>
  <si>
    <t>Angel investor / operator angel / syndicate lead</t>
  </si>
  <si>
    <t>Relevant because profile/source suggests exposure to UK angels; likely more sensitive to technical diligence gaps than large funds with internal teams.</t>
  </si>
  <si>
    <t>https://www.linkedin.com/search/results/people/?keywords=Alan+Morgan+angel+investor+robotics+AI+deeptech</t>
  </si>
  <si>
    <t>https://shizune.co/investors/angel-investors-united-kingdom</t>
  </si>
  <si>
    <t>Position as a fixed-fee independent technical review for one robotics/physical AI/deeptech opportunity; ask whether this would help them avoid hidden technical and deployment risk.</t>
  </si>
  <si>
    <t>Alex Macdonald</t>
  </si>
  <si>
    <t>Robotics, automation, physical AI, AI/deeptech, operator angels, product-deployment fit</t>
  </si>
  <si>
    <t>Relevant because profile/source suggests exposure to UK operator angels; likely more sensitive to technical diligence gaps than large funds with internal teams.</t>
  </si>
  <si>
    <t>https://www.linkedin.com/search/results/people/?keywords=Alex+Macdonald+angel+investor+robotics+AI+deeptech</t>
  </si>
  <si>
    <t>Alexander Chesterman</t>
  </si>
  <si>
    <t>https://www.linkedin.com/search/results/people/?keywords=Alexander+Chesterman+angel+investor+robotics+AI+deeptech</t>
  </si>
  <si>
    <t>Andrew Weisz</t>
  </si>
  <si>
    <t>https://www.linkedin.com/search/results/people/?keywords=Andrew+Weisz+angel+investor+robotics+AI+deeptech</t>
  </si>
  <si>
    <t>Andy Ayim</t>
  </si>
  <si>
    <t>Relevant because profile/source suggests exposure to UK angel investor; likely more sensitive to technical diligence gaps than large funds with internal teams.</t>
  </si>
  <si>
    <t>https://www.linkedin.com/search/results/people/?keywords=Andy+Ayim+angel+investor+robotics+AI+deeptech</t>
  </si>
  <si>
    <t>Andy Phillipps</t>
  </si>
  <si>
    <t>https://www.linkedin.com/search/results/people/?keywords=Andy+Phillipps+angel+investor+robotics+AI+deeptech</t>
  </si>
  <si>
    <t>Anne Glover</t>
  </si>
  <si>
    <t>Relevant because profile/source suggests exposure to UK venture/deeptech investor; likely more sensitive to technical diligence gaps than large funds with internal teams.</t>
  </si>
  <si>
    <t>https://www.linkedin.com/search/results/people/?keywords=Anne+Glover+angel+investor+robotics+AI+deeptech</t>
  </si>
  <si>
    <t>Carl Pei</t>
  </si>
  <si>
    <t>Robotics, automation, physical AI, AI/deeptech, hardware, product-deployment risk</t>
  </si>
  <si>
    <t>Relevant because profile/source suggests exposure to hardware/operator angels; likely more sensitive to technical diligence gaps than large funds with internal teams.</t>
  </si>
  <si>
    <t>https://www.linkedin.com/search/results/people/?keywords=Carl+Pei+angel+investor+robotics+AI+deeptech</t>
  </si>
  <si>
    <t>https://shizune.co/investors/hardware-angel-investors-united-kingdom</t>
  </si>
  <si>
    <t>Carlos Eduardo Espinal</t>
  </si>
  <si>
    <t>Relevant because profile/source suggests exposure to UK/EU seed investor; likely more sensitive to technical diligence gaps than large funds with internal teams.</t>
  </si>
  <si>
    <t>https://www.linkedin.com/search/results/people/?keywords=Carlos+Eduardo+Espinal+angel+investor+robotics+AI+deeptech</t>
  </si>
  <si>
    <t>Carlos Gonzalez-Cadenas</t>
  </si>
  <si>
    <t>Robotics, automation, physical AI, AI/deeptech, AI/data, technical diligence</t>
  </si>
  <si>
    <t>Relevant because profile/source suggests exposure to UK/Spain tech angels; likely more sensitive to technical diligence gaps than large funds with internal teams.</t>
  </si>
  <si>
    <t>https://www.linkedin.com/search/results/people/?keywords=Carlos+Gonzalez-Cadenas+angel+investor+robotics+AI+deeptech</t>
  </si>
  <si>
    <t>Charles Delingpole</t>
  </si>
  <si>
    <t>Relevant because profile/source suggests exposure to UK fintech/AI angels; likely more sensitive to technical diligence gaps than large funds with internal teams.</t>
  </si>
  <si>
    <t>https://www.linkedin.com/search/results/people/?keywords=Charles+Delingpole+angel+investor+robotics+AI+deeptech</t>
  </si>
  <si>
    <t>Chris Adelsbach</t>
  </si>
  <si>
    <t>Relevant because profile/source suggests exposure to UK AI/early-stage angels; likely more sensitive to technical diligence gaps than large funds with internal teams.</t>
  </si>
  <si>
    <t>https://www.linkedin.com/search/results/people/?keywords=Chris+Adelsbach+angel+investor+robotics+AI+deeptech</t>
  </si>
  <si>
    <t>Chris Mairs</t>
  </si>
  <si>
    <t>Relevant because profile/source suggests exposure to UK technology angels; likely more sensitive to technical diligence gaps than large funds with internal teams.</t>
  </si>
  <si>
    <t>https://www.linkedin.com/search/results/people/?keywords=Chris+Mairs+angel+investor+robotics+AI+deeptech</t>
  </si>
  <si>
    <t>Chris Tottman</t>
  </si>
  <si>
    <t>Relevant because profile/source suggests exposure to UK early-stage investor; likely more sensitive to technical diligence gaps than large funds with internal teams.</t>
  </si>
  <si>
    <t>https://www.linkedin.com/search/results/people/?keywords=Chris+Tottman+angel+investor+robotics+AI+deeptech</t>
  </si>
  <si>
    <t>Christer Holloman</t>
  </si>
  <si>
    <t>Relevant because profile/source suggests exposure to UK/Sweden angels; likely more sensitive to technical diligence gaps than large funds with internal teams.</t>
  </si>
  <si>
    <t>https://www.linkedin.com/search/results/people/?keywords=Christer+Holloman+angel+investor+robotics+AI+deeptech</t>
  </si>
  <si>
    <t>Dame Stephanie Shirley</t>
  </si>
  <si>
    <t>https://www.linkedin.com/search/results/people/?keywords=Dame+Stephanie+Shirley+angel+investor+robotics+AI+deeptech</t>
  </si>
  <si>
    <t>Dan Cobley</t>
  </si>
  <si>
    <t>Relevant because profile/source suggests exposure to UK AI/fintech angels; likely more sensitive to technical diligence gaps than large funds with internal teams.</t>
  </si>
  <si>
    <t>https://www.linkedin.com/search/results/people/?keywords=Dan+Cobley+angel+investor+robotics+AI+deeptech</t>
  </si>
  <si>
    <t>Daniel Waterhouse</t>
  </si>
  <si>
    <t>Relevant because profile/source suggests exposure to UK AI/deeptech investor; likely more sensitive to technical diligence gaps than large funds with internal teams.</t>
  </si>
  <si>
    <t>https://www.linkedin.com/search/results/people/?keywords=Daniel+Waterhouse+angel+investor+robotics+AI+deeptech</t>
  </si>
  <si>
    <t>David Rowan</t>
  </si>
  <si>
    <t>Relevant because profile/source suggests exposure to UK/Europe AI angels; likely more sensitive to technical diligence gaps than large funds with internal teams.</t>
  </si>
  <si>
    <t>https://www.linkedin.com/search/results/people/?keywords=David+Rowan+angel+investor+robotics+AI+deeptech</t>
  </si>
  <si>
    <t>Debbie Wosskow</t>
  </si>
  <si>
    <t>https://www.linkedin.com/search/results/people/?keywords=Debbie+Wosskow+angel+investor+robotics+AI+deeptech</t>
  </si>
  <si>
    <t>Deepali Nangia</t>
  </si>
  <si>
    <t>https://www.linkedin.com/search/results/people/?keywords=Deepali+Nangia+angel+investor+robotics+AI+deeptech</t>
  </si>
  <si>
    <t>Didier Valet</t>
  </si>
  <si>
    <t>Relevant because profile/source suggests exposure to Europe angels; likely more sensitive to technical diligence gaps than large funds with internal teams.</t>
  </si>
  <si>
    <t>https://www.linkedin.com/search/results/people/?keywords=Didier+Valet+angel+investor+robotics+AI+deeptech</t>
  </si>
  <si>
    <t>Dimitris Kouzelis</t>
  </si>
  <si>
    <t>Relevant because profile/source suggests exposure to Europe deeptech angels; likely more sensitive to technical diligence gaps than large funds with internal teams.</t>
  </si>
  <si>
    <t>https://www.linkedin.com/search/results/people/?keywords=Dimitris+Kouzelis+angel+investor+robotics+AI+deeptech</t>
  </si>
  <si>
    <t>Duncan Cheatle</t>
  </si>
  <si>
    <t>Robotics, automation, physical AI, AI/deeptech, angel syndicates, small investor technical support</t>
  </si>
  <si>
    <t>Relevant because profile/source suggests exposure to UK angel network investor; likely more sensitive to technical diligence gaps than large funds with internal teams.</t>
  </si>
  <si>
    <t>https://www.linkedin.com/search/results/people/?keywords=Duncan+Cheatle+angel+investor+robotics+AI+deeptech</t>
  </si>
  <si>
    <t>Duncan Logan</t>
  </si>
  <si>
    <t>https://www.linkedin.com/search/results/people/?keywords=Duncan+Logan+angel+investor+robotics+AI+deeptech</t>
  </si>
  <si>
    <t>Edward Lando</t>
  </si>
  <si>
    <t>Relevant because profile/source suggests exposure to Europe/US operator angels; likely more sensitive to technical diligence gaps than large funds with internal teams.</t>
  </si>
  <si>
    <t>https://www.linkedin.com/search/results/people/?keywords=Edward+Lando+angel+investor+robotics+AI+deeptech</t>
  </si>
  <si>
    <t>Eileen Burbidge</t>
  </si>
  <si>
    <t>https://www.linkedin.com/search/results/people/?keywords=Eileen+Burbidge+angel+investor+robotics+AI+deeptech</t>
  </si>
  <si>
    <t>Errol Damelin</t>
  </si>
  <si>
    <t>https://www.linkedin.com/search/results/people/?keywords=Errol+Damelin+angel+investor+robotics+AI+deeptech</t>
  </si>
  <si>
    <t>Felix Jahn</t>
  </si>
  <si>
    <t>Relevant because profile/source suggests exposure to DACH/UK angels; likely more sensitive to technical diligence gaps than large funds with internal teams.</t>
  </si>
  <si>
    <t>https://www.linkedin.com/search/results/people/?keywords=Felix+Jahn+angel+investor+robotics+AI+deeptech</t>
  </si>
  <si>
    <t>Gareth Williams</t>
  </si>
  <si>
    <t>https://www.linkedin.com/search/results/people/?keywords=Gareth+Williams+angel+investor+robotics+AI+deeptech</t>
  </si>
  <si>
    <t>Harry Stebbings</t>
  </si>
  <si>
    <t>Relevant because profile/source suggests exposure to UK angel/seed investor; likely more sensitive to technical diligence gaps than large funds with internal teams.</t>
  </si>
  <si>
    <t>https://www.linkedin.com/search/results/people/?keywords=Harry+Stebbings+angel+investor+robotics+AI+deeptech</t>
  </si>
  <si>
    <t>Hermann Hauser</t>
  </si>
  <si>
    <t>Relevant because profile/source suggests exposure to UK/deeptech angels; likely more sensitive to technical diligence gaps than large funds with internal teams.</t>
  </si>
  <si>
    <t>https://www.linkedin.com/search/results/people/?keywords=Hermann+Hauser+angel+investor+robotics+AI+deeptech</t>
  </si>
  <si>
    <t>Ian Hogarth</t>
  </si>
  <si>
    <t>Relevant because profile/source suggests exposure to UK AI angels; likely more sensitive to technical diligence gaps than large funds with internal teams.</t>
  </si>
  <si>
    <t>https://www.linkedin.com/search/results/people/?keywords=Ian+Hogarth+angel+investor+robotics+AI+deeptech</t>
  </si>
  <si>
    <t>Ian Marchant</t>
  </si>
  <si>
    <t>Relevant because profile/source suggests exposure to UK energy/tech angels; likely more sensitive to technical diligence gaps than large funds with internal teams.</t>
  </si>
  <si>
    <t>https://www.linkedin.com/search/results/people/?keywords=Ian+Marchant+angel+investor+robotics+AI+deeptech</t>
  </si>
  <si>
    <t>Ilkka Paananen</t>
  </si>
  <si>
    <t>Relevant because profile/source suggests exposure to Finland/AI operator angels; likely more sensitive to technical diligence gaps than large funds with internal teams.</t>
  </si>
  <si>
    <t>https://www.linkedin.com/search/results/people/?keywords=Ilkka+Paananen+angel+investor+robotics+AI+deeptech</t>
  </si>
  <si>
    <t>Jaan Tallinn</t>
  </si>
  <si>
    <t>Relevant because profile/source suggests exposure to AI/deeptech angels; likely more sensitive to technical diligence gaps than large funds with internal teams.</t>
  </si>
  <si>
    <t>https://www.linkedin.com/search/results/people/?keywords=Jaan+Tallinn+angel+investor+robotics+AI+deeptech</t>
  </si>
  <si>
    <t>James Wise</t>
  </si>
  <si>
    <t>Relevant because profile/source suggests exposure to UK seed investor; likely more sensitive to technical diligence gaps than large funds with internal teams.</t>
  </si>
  <si>
    <t>https://www.linkedin.com/search/results/people/?keywords=James+Wise+angel+investor+robotics+AI+deeptech</t>
  </si>
  <si>
    <t>Jan Hammer</t>
  </si>
  <si>
    <t>Relevant because profile/source suggests exposure to Europe seed investor; likely more sensitive to technical diligence gaps than large funds with internal teams.</t>
  </si>
  <si>
    <t>https://www.linkedin.com/search/results/people/?keywords=Jan+Hammer+angel+investor+robotics+AI+deeptech</t>
  </si>
  <si>
    <t>Jeremy Yap</t>
  </si>
  <si>
    <t>https://www.linkedin.com/search/results/people/?keywords=Jeremy+Yap+angel+investor+robotics+AI+deeptech</t>
  </si>
  <si>
    <t>John Spindler</t>
  </si>
  <si>
    <t>Relevant because profile/source suggests exposure to UK angel networks; likely more sensitive to technical diligence gaps than large funds with internal teams.</t>
  </si>
  <si>
    <t>https://www.linkedin.com/search/results/people/?keywords=John+Spindler+angel+investor+robotics+AI+deeptech</t>
  </si>
  <si>
    <t>Jon Oringer</t>
  </si>
  <si>
    <t>Relevant because profile/source suggests exposure to US/UK angels; likely more sensitive to technical diligence gaps than large funds with internal teams.</t>
  </si>
  <si>
    <t>https://www.linkedin.com/search/results/people/?keywords=Jon+Oringer+angel+investor+robotics+AI+deeptech</t>
  </si>
  <si>
    <t>Jonathan Milner</t>
  </si>
  <si>
    <t>Relevant because profile/source suggests exposure to UK deeptech/healthtech angels; likely more sensitive to technical diligence gaps than large funds with internal teams.</t>
  </si>
  <si>
    <t>https://www.linkedin.com/search/results/people/?keywords=Jonathan+Milner+angel+investor+robotics+AI+deeptech</t>
  </si>
  <si>
    <t>Lorenz Bogaert</t>
  </si>
  <si>
    <t>Relevant because profile/source suggests exposure to Europe AI angels; likely more sensitive to technical diligence gaps than large funds with internal teams.</t>
  </si>
  <si>
    <t>https://www.linkedin.com/search/results/people/?keywords=Lorenz+Bogaert+angel+investor+robotics+AI+deeptech</t>
  </si>
  <si>
    <t>Luca Ascani</t>
  </si>
  <si>
    <t>https://www.linkedin.com/search/results/people/?keywords=Luca+Ascani+angel+investor+robotics+AI+deeptech</t>
  </si>
  <si>
    <t>Madalina Suceveanu</t>
  </si>
  <si>
    <t>Relevant because profile/source suggests exposure to tech/operator angels; likely more sensitive to technical diligence gaps than large funds with internal teams.</t>
  </si>
  <si>
    <t>https://www.linkedin.com/search/results/people/?keywords=Madalina+Suceveanu+angel+investor+robotics+AI+deeptech</t>
  </si>
  <si>
    <t>Mads Jensen</t>
  </si>
  <si>
    <t>Relevant because profile/source suggests exposure to AI/impact angels; likely more sensitive to technical diligence gaps than large funds with internal teams.</t>
  </si>
  <si>
    <t>https://www.linkedin.com/search/results/people/?keywords=Mads+Jensen+angel+investor+robotics+AI+deeptech</t>
  </si>
  <si>
    <t>Mandeep Singh</t>
  </si>
  <si>
    <t>https://www.linkedin.com/search/results/people/?keywords=Mandeep+Singh+angel+investor+robotics+AI+deeptech</t>
  </si>
  <si>
    <t>Mark Ransford</t>
  </si>
  <si>
    <t>https://www.linkedin.com/search/results/people/?keywords=Mark+Ransford+angel+investor+robotics+AI+deeptech</t>
  </si>
  <si>
    <t>Martha Lane Fox</t>
  </si>
  <si>
    <t>https://www.linkedin.com/search/results/people/?keywords=Martha+Lane+Fox+angel+investor+robotics+AI+deeptech</t>
  </si>
  <si>
    <t>Mati Staniszewski</t>
  </si>
  <si>
    <t>Relevant because profile/source suggests exposure to AI/audio angels; likely more sensitive to technical diligence gaps than large funds with internal teams.</t>
  </si>
  <si>
    <t>https://www.linkedin.com/search/results/people/?keywords=Mati+Staniszewski+angel+investor+robotics+AI+deeptech</t>
  </si>
  <si>
    <t>Matt Robinson</t>
  </si>
  <si>
    <t>Relevant because profile/source suggests exposure to UK early-stage angels; likely more sensitive to technical diligence gaps than large funds with internal teams.</t>
  </si>
  <si>
    <t>https://www.linkedin.com/search/results/people/?keywords=Matt+Robinson+angel+investor+robotics+AI+deeptech</t>
  </si>
  <si>
    <t>Michael Bristow</t>
  </si>
  <si>
    <t>https://www.linkedin.com/search/results/people/?keywords=Michael+Bristow+angel+investor+robotics+AI+deeptech</t>
  </si>
  <si>
    <t>Michael Pennington</t>
  </si>
  <si>
    <t>https://www.linkedin.com/search/results/people/?keywords=Michael+Pennington+angel+investor+robotics+AI+deeptech</t>
  </si>
  <si>
    <t>Michele Attisani</t>
  </si>
  <si>
    <t>Relevant because profile/source suggests exposure to Europe/AI angels; likely more sensitive to technical diligence gaps than large funds with internal teams.</t>
  </si>
  <si>
    <t>https://www.linkedin.com/search/results/people/?keywords=Michele+Attisani+angel+investor+robotics+AI+deeptech</t>
  </si>
  <si>
    <t>Mike Lynch</t>
  </si>
  <si>
    <t>Relevant because profile/source suggests exposure to UK deeptech angels; likely more sensitive to technical diligence gaps than large funds with internal teams.</t>
  </si>
  <si>
    <t>https://www.linkedin.com/search/results/people/?keywords=Mike+Lynch+angel+investor+robotics+AI+deeptech</t>
  </si>
  <si>
    <t>Nadav Ben-Chanoch</t>
  </si>
  <si>
    <t>https://www.linkedin.com/search/results/people/?keywords=Nadav+Ben-Chanoch+angel+investor+robotics+AI+deeptech</t>
  </si>
  <si>
    <t>Neil Rimer</t>
  </si>
  <si>
    <t>Relevant because profile/source suggests exposure to Europe tech investor; likely more sensitive to technical diligence gaps than large funds with internal teams.</t>
  </si>
  <si>
    <t>https://www.linkedin.com/search/results/people/?keywords=Neil+Rimer+angel+investor+robotics+AI+deeptech</t>
  </si>
  <si>
    <t>Nic Brisbourne</t>
  </si>
  <si>
    <t>https://www.linkedin.com/search/results/people/?keywords=Nic+Brisbourne+angel+investor+robotics+AI+deeptech</t>
  </si>
  <si>
    <t>Nick Telson-Sillett</t>
  </si>
  <si>
    <t>https://www.linkedin.com/search/results/people/?keywords=Nick+Telson-Sillett+angel+investor+robotics+AI+deeptech</t>
  </si>
  <si>
    <t>Nigel Wray</t>
  </si>
  <si>
    <t>https://www.linkedin.com/search/results/people/?keywords=Nigel+Wray+angel+investor+robotics+AI+deeptech</t>
  </si>
  <si>
    <t>Niklas Zennström</t>
  </si>
  <si>
    <t>Relevant because profile/source suggests exposure to Nordic deeptech/AI angels; likely more sensitive to technical diligence gaps than large funds with internal teams.</t>
  </si>
  <si>
    <t>https://www.linkedin.com/search/results/people/?keywords=Niklas+Zennstr%C3%B6m+angel+investor+robotics+AI+deeptech</t>
  </si>
  <si>
    <t>Olivier Pomel</t>
  </si>
  <si>
    <t>Relevant because profile/source suggests exposure to Europe/US AI angels; likely more sensitive to technical diligence gaps than large funds with internal teams.</t>
  </si>
  <si>
    <t>https://www.linkedin.com/search/results/people/?keywords=Olivier+Pomel+angel+investor+robotics+AI+deeptech</t>
  </si>
  <si>
    <t>Omid Ashtari</t>
  </si>
  <si>
    <t>Relevant because profile/source suggests exposure to UK/Europe angels; likely more sensitive to technical diligence gaps than large funds with internal teams.</t>
  </si>
  <si>
    <t>https://www.linkedin.com/search/results/people/?keywords=Omid+Ashtari+angel+investor+robotics+AI+deeptech</t>
  </si>
  <si>
    <t>Paul Birch</t>
  </si>
  <si>
    <t>https://www.linkedin.com/search/results/people/?keywords=Paul+Birch+angel+investor+robotics+AI+deeptech</t>
  </si>
  <si>
    <t>Paul Forster</t>
  </si>
  <si>
    <t>https://www.linkedin.com/search/results/people/?keywords=Paul+Forster+angel+investor+robotics+AI+deeptech</t>
  </si>
  <si>
    <t>Paul Heywood</t>
  </si>
  <si>
    <t>Relevant because profile/source suggests exposure to UK startup investor; likely more sensitive to technical diligence gaps than large funds with internal teams.</t>
  </si>
  <si>
    <t>https://www.linkedin.com/search/results/people/?keywords=Paul+Heywood+angel+investor+robotics+AI+deeptech</t>
  </si>
  <si>
    <t>Peter Cowley</t>
  </si>
  <si>
    <t>https://www.linkedin.com/search/results/people/?keywords=Peter+Cowley+angel+investor+robotics+AI+deeptech</t>
  </si>
  <si>
    <t>Phil O'Donovan</t>
  </si>
  <si>
    <t>Relevant because profile/source suggests exposure to Phil-like target; likely more sensitive to technical diligence gaps than large funds with internal teams.</t>
  </si>
  <si>
    <t>https://www.linkedin.com/search/results/people/?keywords=Phil+O%27Donovan+angel+investor+robotics+AI+deeptech</t>
  </si>
  <si>
    <t>Remy Lazarovici</t>
  </si>
  <si>
    <t>Relevant because profile/source suggests exposure to Swiss AI/SaaS angels; likely more sensitive to technical diligence gaps than large funds with internal teams.</t>
  </si>
  <si>
    <t>https://www.linkedin.com/search/results/people/?keywords=Remy+Lazarovici+angel+investor+robotics+AI+deeptech</t>
  </si>
  <si>
    <t>Renaud Visage</t>
  </si>
  <si>
    <t>Relevant because profile/source suggests exposure to Europe operator angels; likely more sensitive to technical diligence gaps than large funds with internal teams.</t>
  </si>
  <si>
    <t>https://www.linkedin.com/search/results/people/?keywords=Renaud+Visage+angel+investor+robotics+AI+deeptech</t>
  </si>
  <si>
    <t>Reshma Sohoni</t>
  </si>
  <si>
    <t>https://www.linkedin.com/search/results/people/?keywords=Reshma+Sohoni+angel+investor+robotics+AI+deeptech</t>
  </si>
  <si>
    <t>Richard Fearn</t>
  </si>
  <si>
    <t>https://www.linkedin.com/search/results/people/?keywords=Richard+Fearn+angel+investor+robotics+AI+deeptech</t>
  </si>
  <si>
    <t>Richard Muirhead</t>
  </si>
  <si>
    <t>Relevant because profile/source suggests exposure to deeptech/venture investor; likely more sensitive to technical diligence gaps than large funds with internal teams.</t>
  </si>
  <si>
    <t>https://www.linkedin.com/search/results/people/?keywords=Richard+Muirhead+angel+investor+robotics+AI+deeptech</t>
  </si>
  <si>
    <t>Richard Reed</t>
  </si>
  <si>
    <t>https://www.linkedin.com/search/results/people/?keywords=Richard+Reed+angel+investor+robotics+AI+deeptech</t>
  </si>
  <si>
    <t>Robin Klein</t>
  </si>
  <si>
    <t>Relevant because profile/source suggests exposure to UK seed angels; likely more sensitive to technical diligence gaps than large funds with internal teams.</t>
  </si>
  <si>
    <t>https://www.linkedin.com/search/results/people/?keywords=Robin+Klein+angel+investor+robotics+AI+deeptech</t>
  </si>
  <si>
    <t>Robin Knox</t>
  </si>
  <si>
    <t>https://www.linkedin.com/search/results/people/?keywords=Robin+Knox+angel+investor+robotics+AI+deeptech</t>
  </si>
  <si>
    <t>Roxana Stingu</t>
  </si>
  <si>
    <t>https://www.linkedin.com/search/results/people/?keywords=Roxana+Stingu+angel+investor+robotics+AI+deeptech</t>
  </si>
  <si>
    <t>Roxanne Varza</t>
  </si>
  <si>
    <t>Relevant because profile/source suggests exposure to Europe startup ecosystem; likely more sensitive to technical diligence gaps than large funds with internal teams.</t>
  </si>
  <si>
    <t>https://www.linkedin.com/search/results/people/?keywords=Roxanne+Varza+angel+investor+robotics+AI+deeptech</t>
  </si>
  <si>
    <t>Sam Enrico Williams</t>
  </si>
  <si>
    <t>Relevant because profile/source suggests exposure to UK angel; likely more sensitive to technical diligence gaps than large funds with internal teams.</t>
  </si>
  <si>
    <t>https://www.linkedin.com/search/results/people/?keywords=Sam+Enrico+Williams+angel+investor+robotics+AI+deeptech</t>
  </si>
  <si>
    <t>Sarah Turner</t>
  </si>
  <si>
    <t>https://www.linkedin.com/search/results/people/?keywords=Sarah+Turner+angel+investor+robotics+AI+deeptech</t>
  </si>
  <si>
    <t>Saul Klein</t>
  </si>
  <si>
    <t>Relevant because profile/source suggests exposure to UK seed/deeptech angels; likely more sensitive to technical diligence gaps than large funds with internal teams.</t>
  </si>
  <si>
    <t>https://www.linkedin.com/search/results/people/?keywords=Saul+Klein+angel+investor+robotics+AI+deeptech</t>
  </si>
  <si>
    <t>Serge Chiaramonte</t>
  </si>
  <si>
    <t>Relevant because profile/source suggests exposure to UK/Europe early-stage angels; likely more sensitive to technical diligence gaps than large funds with internal teams.</t>
  </si>
  <si>
    <t>https://www.linkedin.com/search/results/people/?keywords=Serge+Chiaramonte+angel+investor+robotics+AI+deeptech</t>
  </si>
  <si>
    <t>Sherry Coutu</t>
  </si>
  <si>
    <t>https://www.linkedin.com/search/results/people/?keywords=Sherry+Coutu+angel+investor+robotics+AI+deeptech</t>
  </si>
  <si>
    <t>Simon Calver</t>
  </si>
  <si>
    <t>https://www.linkedin.com/search/results/people/?keywords=Simon+Calver+angel+investor+robotics+AI+deeptech</t>
  </si>
  <si>
    <t>Simon Devonshire</t>
  </si>
  <si>
    <t>https://www.linkedin.com/search/results/people/?keywords=Simon+Devonshire+angel+investor+robotics+AI+deeptech</t>
  </si>
  <si>
    <t>Simon Franks</t>
  </si>
  <si>
    <t>https://www.linkedin.com/search/results/people/?keywords=Simon+Franks+angel+investor+robotics+AI+deeptech</t>
  </si>
  <si>
    <t>Simon Murdoch</t>
  </si>
  <si>
    <t>https://www.linkedin.com/search/results/people/?keywords=Simon+Murdoch+angel+investor+robotics+AI+deeptech</t>
  </si>
  <si>
    <t>Simon Thorpe</t>
  </si>
  <si>
    <t>https://www.linkedin.com/search/results/people/?keywords=Simon+Thorpe+angel+investor+robotics+AI+deeptech</t>
  </si>
  <si>
    <t>Siraj Khaliq</t>
  </si>
  <si>
    <t>Relevant because profile/source suggests exposure to Swiss/AI angels; likely more sensitive to technical diligence gaps than large funds with internal teams.</t>
  </si>
  <si>
    <t>https://www.linkedin.com/search/results/people/?keywords=Siraj+Khaliq+angel+investor+robotics+AI+deeptech</t>
  </si>
  <si>
    <t>Stefan Glänzer</t>
  </si>
  <si>
    <t>https://www.linkedin.com/search/results/people/?keywords=Stefan+Gl%C3%A4nzer+angel+investor+robotics+AI+deeptech</t>
  </si>
  <si>
    <t>Steven Bartlett</t>
  </si>
  <si>
    <t>https://www.linkedin.com/search/results/people/?keywords=Steven+Bartlett+angel+investor+robotics+AI+deeptech</t>
  </si>
  <si>
    <t>Taavet Hinrikus</t>
  </si>
  <si>
    <t>Relevant because profile/source suggests exposure to UK/Europe fintech/AI angels; likely more sensitive to technical diligence gaps than large funds with internal teams.</t>
  </si>
  <si>
    <t>https://www.linkedin.com/search/results/people/?keywords=Taavet+Hinrikus+angel+investor+robotics+AI+deeptech</t>
  </si>
  <si>
    <t>Tanya Suarez</t>
  </si>
  <si>
    <t>Relevant because profile/source suggests exposure to UK deeptech/hardware ecosystem; likely more sensitive to technical diligence gaps than large funds with internal teams.</t>
  </si>
  <si>
    <t>https://www.linkedin.com/search/results/people/?keywords=Tanya+Suarez+angel+investor+robotics+AI+deeptech</t>
  </si>
  <si>
    <t>Theo Osborne</t>
  </si>
  <si>
    <t>https://www.linkedin.com/search/results/people/?keywords=Theo+Osborne+angel+investor+robotics+AI+deeptech</t>
  </si>
  <si>
    <t>Tom Blomfield</t>
  </si>
  <si>
    <t>https://www.linkedin.com/search/results/people/?keywords=Tom+Blomfield+angel+investor+robotics+AI+deeptech</t>
  </si>
  <si>
    <t>Tom Hulme</t>
  </si>
  <si>
    <t>Relevant because profile/source suggests exposure to UK deeptech/AI angels; likely more sensitive to technical diligence gaps than large funds with internal teams.</t>
  </si>
  <si>
    <t>https://www.linkedin.com/search/results/people/?keywords=Tom+Hulme+angel+investor+robotics+AI+deeptech</t>
  </si>
  <si>
    <t>Tom Singh</t>
  </si>
  <si>
    <t>https://www.linkedin.com/search/results/people/?keywords=Tom+Singh+angel+investor+robotics+AI+deeptech</t>
  </si>
  <si>
    <t>Uday Kumar Bangalore Shivaraman</t>
  </si>
  <si>
    <t>Relevant because profile/source suggests exposure to UK/India angels; likely more sensitive to technical diligence gaps than large funds with internal teams.</t>
  </si>
  <si>
    <t>https://www.linkedin.com/search/results/people/?keywords=Uday+Kumar+Bangalore+Shivaraman+angel+investor+robotics+AI+deeptech</t>
  </si>
  <si>
    <t>Will Brooks</t>
  </si>
  <si>
    <t>https://www.linkedin.com/search/results/people/?keywords=Will+Brooks+angel+investor+robotics+AI+deeptech</t>
  </si>
  <si>
    <t>Will Martin</t>
  </si>
  <si>
    <t>https://www.linkedin.com/search/results/people/?keywords=Will+Martin+angel+investor+robotics+AI+deeptech</t>
  </si>
  <si>
    <t>Will Neale</t>
  </si>
  <si>
    <t>https://www.linkedin.com/search/results/people/?keywords=Will+Neale+angel+investor+robotics+AI+deeptech</t>
  </si>
  <si>
    <t>William Tunstall-Pedoe</t>
  </si>
  <si>
    <t>https://www.linkedin.com/search/results/people/?keywords=William+Tunstall-Pedoe+angel+investor+robotics+AI+deeptech</t>
  </si>
  <si>
    <t>Alex Barrera</t>
  </si>
  <si>
    <t>Relevant because profile/source suggests exposure to Spain startup ecosystem; likely more sensitive to technical diligence gaps than large funds with internal teams.</t>
  </si>
  <si>
    <t>https://www.linkedin.com/search/results/people/?keywords=Alex+Barrera+angel+investor+robotics+AI+deeptech</t>
  </si>
  <si>
    <t>https://shizune.co/investors/angel-investors-spain</t>
  </si>
  <si>
    <t>Bernardo Hernández</t>
  </si>
  <si>
    <t>Relevant because profile/source suggests exposure to Spain/US angels; likely more sensitive to technical diligence gaps than large funds with internal teams.</t>
  </si>
  <si>
    <t>https://www.linkedin.com/search/results/people/?keywords=Bernardo+Hern%C3%A1ndez+angel+investor+robotics+AI+deeptech</t>
  </si>
  <si>
    <t>Carlos Blanco</t>
  </si>
  <si>
    <t>Relevant because profile/source suggests exposure to Spain angel investor; likely more sensitive to technical diligence gaps than large funds with internal teams.</t>
  </si>
  <si>
    <t>https://www.linkedin.com/search/results/people/?keywords=Carlos+Blanco+angel+investor+robotics+AI+deeptech</t>
  </si>
  <si>
    <t>Didac Lee</t>
  </si>
  <si>
    <t>Relevant because profile/source suggests exposure to Spain technology angels; likely more sensitive to technical diligence gaps than large funds with internal teams.</t>
  </si>
  <si>
    <t>https://www.linkedin.com/search/results/people/?keywords=Didac+Lee+angel+investor+robotics+AI+deeptech</t>
  </si>
  <si>
    <t>Dídac Lee</t>
  </si>
  <si>
    <t>Relevant because profile/source suggests exposure to Spain operator angels; likely more sensitive to technical diligence gaps than large funds with internal teams.</t>
  </si>
  <si>
    <t>https://www.linkedin.com/search/results/people/?keywords=D%C3%ADdac+Lee+angel+investor+robotics+AI+deeptech</t>
  </si>
  <si>
    <t>ESADE BAN lead angels</t>
  </si>
  <si>
    <t>Angel network</t>
  </si>
  <si>
    <t>Angel network or syndicate that may need repeatable technical screening capability for member deals in robotics, automation, AI hardware or deeptech.</t>
  </si>
  <si>
    <t>Relevant because profile/source suggests exposure to Spain angel networks; likely more sensitive to technical diligence gaps than large funds with internal teams.</t>
  </si>
  <si>
    <t>https://www.linkedin.com/search/results/people/?keywords=ESADE+BAN+lead+angels+angel+investor+robotics+AI+deeptech</t>
  </si>
  <si>
    <t>Ask whether member angels would benefit from a fixed-fee technical review before backing technical startups.</t>
  </si>
  <si>
    <t>Eneko Knorr</t>
  </si>
  <si>
    <t>https://www.linkedin.com/search/results/people/?keywords=Eneko+Knorr+angel+investor+robotics+AI+deeptech</t>
  </si>
  <si>
    <t>Faraday Venture Partners</t>
  </si>
  <si>
    <t>Angel syndicate</t>
  </si>
  <si>
    <t>Relevant because profile/source suggests exposure to Spain angel syndicate; likely more sensitive to technical diligence gaps than large funds with internal teams.</t>
  </si>
  <si>
    <t>https://www.linkedin.com/search/results/people/?keywords=Faraday+Venture+Partners+angel+investor+robotics+AI+deeptech</t>
  </si>
  <si>
    <t>François Derbaix</t>
  </si>
  <si>
    <t>Relevant because profile/source suggests exposure to Spain/Europe angels; likely more sensitive to technical diligence gaps than large funds with internal teams.</t>
  </si>
  <si>
    <t>https://www.linkedin.com/search/results/people/?keywords=Fran%C3%A7ois+Derbaix+angel+investor+robotics+AI+deeptech</t>
  </si>
  <si>
    <t>IESE BAN lead angels</t>
  </si>
  <si>
    <t>https://www.linkedin.com/search/results/people/?keywords=IESE+BAN+lead+angels+angel+investor+robotics+AI+deeptech</t>
  </si>
  <si>
    <t>Javier Megias</t>
  </si>
  <si>
    <t>https://www.linkedin.com/search/results/people/?keywords=Javier+Megias+angel+investor+robotics+AI+deeptech</t>
  </si>
  <si>
    <t>Jesús Encinar</t>
  </si>
  <si>
    <t>https://www.linkedin.com/search/results/people/?keywords=Jes%C3%BAs+Encinar+angel+investor+robotics+AI+deeptech</t>
  </si>
  <si>
    <t>Jose Marin</t>
  </si>
  <si>
    <t>Relevant because profile/source suggests exposure to Spain global angels; likely more sensitive to technical diligence gaps than large funds with internal teams.</t>
  </si>
  <si>
    <t>https://www.linkedin.com/search/results/people/?keywords=Jose+Marin+angel+investor+robotics+AI+deeptech</t>
  </si>
  <si>
    <t>Kibo Ventures angels</t>
  </si>
  <si>
    <t>Relevant because profile/source suggests exposure to Spain angel/seed network; likely more sensitive to technical diligence gaps than large funds with internal teams.</t>
  </si>
  <si>
    <t>https://www.linkedin.com/search/results/people/?keywords=Kibo+Ventures+angels+angel+investor+robotics+AI+deeptech</t>
  </si>
  <si>
    <t>Luis Cabiedes</t>
  </si>
  <si>
    <t>Relevant because profile/source suggests exposure to Spain angels; likely more sensitive to technical diligence gaps than large funds with internal teams.</t>
  </si>
  <si>
    <t>https://www.linkedin.com/search/results/people/?keywords=Luis+Cabiedes+angel+investor+robotics+AI+deeptech</t>
  </si>
  <si>
    <t>Rodrigo Martinez</t>
  </si>
  <si>
    <t>https://www.linkedin.com/search/results/people/?keywords=Rodrigo+Martinez+angel+investor+robotics+AI+deeptech</t>
  </si>
  <si>
    <t>Vicente Arias</t>
  </si>
  <si>
    <t>https://www.linkedin.com/search/results/people/?keywords=Vicente+Arias+angel+investor+robotics+AI+deeptech</t>
  </si>
  <si>
    <t>Ariel Lüdi</t>
  </si>
  <si>
    <t>Relevant because profile/source suggests exposure to Swiss angels; likely more sensitive to technical diligence gaps than large funds with internal teams.</t>
  </si>
  <si>
    <t>https://www.linkedin.com/search/results/people/?keywords=Ariel+L%C3%BCdi+angel+investor+robotics+AI+deeptech</t>
  </si>
  <si>
    <t>https://shizune.co/investors/angel-investors-switzerland</t>
  </si>
  <si>
    <t>Christoph Jost</t>
  </si>
  <si>
    <t>Relevant because profile/source suggests exposure to Swiss tech angels; likely more sensitive to technical diligence gaps than large funds with internal teams.</t>
  </si>
  <si>
    <t>https://www.linkedin.com/search/results/people/?keywords=Christoph+Jost+angel+investor+robotics+AI+deeptech</t>
  </si>
  <si>
    <t>Daniel Gutenberg</t>
  </si>
  <si>
    <t>https://www.linkedin.com/search/results/people/?keywords=Daniel+Gutenberg+angel+investor+robotics+AI+deeptech</t>
  </si>
  <si>
    <t>David Studer</t>
  </si>
  <si>
    <t>https://www.linkedin.com/search/results/people/?keywords=David+Studer+angel+investor+robotics+AI+deeptech</t>
  </si>
  <si>
    <t>Davide Scaramuzza</t>
  </si>
  <si>
    <t>Relevant because profile/source suggests exposure to robotics/autonomy advisors; likely more sensitive to technical diligence gaps than large funds with internal teams.</t>
  </si>
  <si>
    <t>https://www.linkedin.com/search/results/people/?keywords=Davide+Scaramuzza+angel+investor+robotics+AI+deeptech</t>
  </si>
  <si>
    <t>https://shizune.co/investors/hardware-angel-investors-switzerland</t>
  </si>
  <si>
    <t>Marc Bernegger</t>
  </si>
  <si>
    <t>https://www.linkedin.com/search/results/people/?keywords=Marc+Bernegger+angel+investor+robotics+AI+deeptech</t>
  </si>
  <si>
    <t>Marco Hutter</t>
  </si>
  <si>
    <t>Relevant because profile/source suggests exposure to robotics/deeptech advisors; likely more sensitive to technical diligence gaps than large funds with internal teams.</t>
  </si>
  <si>
    <t>https://www.linkedin.com/search/results/people/?keywords=Marco+Hutter+angel+investor+robotics+AI+deeptech</t>
  </si>
  <si>
    <t>Martin Saidler</t>
  </si>
  <si>
    <t>https://www.linkedin.com/search/results/people/?keywords=Martin+Saidler+angel+investor+robotics+AI+deeptech</t>
  </si>
  <si>
    <t>Peter Schüpbach</t>
  </si>
  <si>
    <t>https://www.linkedin.com/search/results/people/?keywords=Peter+Sch%C3%BCpbach+angel+investor+robotics+AI+deeptech</t>
  </si>
  <si>
    <t>Reto Ringger</t>
  </si>
  <si>
    <t>Relevant because profile/source suggests exposure to Swiss impact/tech angels; likely more sensitive to technical diligence gaps than large funds with internal teams.</t>
  </si>
  <si>
    <t>https://www.linkedin.com/search/results/people/?keywords=Reto+Ringger+angel+investor+robotics+AI+deeptech</t>
  </si>
  <si>
    <t>Roland Siegwart</t>
  </si>
  <si>
    <t>https://www.linkedin.com/search/results/people/?keywords=Roland+Siegwart+angel+investor+robotics+AI+deeptech</t>
  </si>
  <si>
    <t>Roland Zeller</t>
  </si>
  <si>
    <t>https://www.linkedin.com/search/results/people/?keywords=Roland+Zeller+angel+investor+robotics+AI+deeptech</t>
  </si>
  <si>
    <t>Alexander Kudlich</t>
  </si>
  <si>
    <t>Relevant because profile/source suggests exposure to Germany investor; likely more sensitive to technical diligence gaps than large funds with internal teams.</t>
  </si>
  <si>
    <t>https://www.linkedin.com/search/results/people/?keywords=Alexander+Kudlich+angel+investor+robotics+AI+deeptech</t>
  </si>
  <si>
    <t>https://shizune.co/investors/angel-investors-germany</t>
  </si>
  <si>
    <t>Carsten Maschmeyer</t>
  </si>
  <si>
    <t>Relevant because profile/source suggests exposure to Germany angels; likely more sensitive to technical diligence gaps than large funds with internal teams.</t>
  </si>
  <si>
    <t>https://www.linkedin.com/search/results/people/?keywords=Carsten+Maschmeyer+angel+investor+robotics+AI+deeptech</t>
  </si>
  <si>
    <t>Christian Vollmann</t>
  </si>
  <si>
    <t>https://www.linkedin.com/search/results/people/?keywords=Christian+Vollmann+angel+investor+robotics+AI+deeptech</t>
  </si>
  <si>
    <t>Christoph Janz</t>
  </si>
  <si>
    <t>Relevant because profile/source suggests exposure to Germany SaaS/AI angels; likely more sensitive to technical diligence gaps than large funds with internal teams.</t>
  </si>
  <si>
    <t>https://www.linkedin.com/search/results/people/?keywords=Christoph+Janz+angel+investor+robotics+AI+deeptech</t>
  </si>
  <si>
    <t>Christophe Maire</t>
  </si>
  <si>
    <t>Relevant because profile/source suggests exposure to Germany/France angels; likely more sensitive to technical diligence gaps than large funds with internal teams.</t>
  </si>
  <si>
    <t>https://www.linkedin.com/search/results/people/?keywords=Christophe+Maire+angel+investor+robotics+AI+deeptech</t>
  </si>
  <si>
    <t>David Schneider</t>
  </si>
  <si>
    <t>Relevant because profile/source suggests exposure to Germany operator angels; likely more sensitive to technical diligence gaps than large funds with internal teams.</t>
  </si>
  <si>
    <t>https://www.linkedin.com/search/results/people/?keywords=David+Schneider+angel+investor+robotics+AI+deeptech</t>
  </si>
  <si>
    <t>Felix Haas</t>
  </si>
  <si>
    <t>Relevant because profile/source suggests exposure to Germany startup angels; likely more sensitive to technical diligence gaps than large funds with internal teams.</t>
  </si>
  <si>
    <t>https://www.linkedin.com/search/results/people/?keywords=Felix+Haas+angel+investor+robotics+AI+deeptech</t>
  </si>
  <si>
    <t>Florian Heinemann</t>
  </si>
  <si>
    <t>https://www.linkedin.com/search/results/people/?keywords=Florian+Heinemann+angel+investor+robotics+AI+deeptech</t>
  </si>
  <si>
    <t>Hanno Renner</t>
  </si>
  <si>
    <t>https://www.linkedin.com/search/results/people/?keywords=Hanno+Renner+angel+investor+robotics+AI+deeptech</t>
  </si>
  <si>
    <t>Jens Begemann</t>
  </si>
  <si>
    <t>https://www.linkedin.com/search/results/people/?keywords=Jens+Begemann+angel+investor+robotics+AI+deeptech</t>
  </si>
  <si>
    <t>Jochen Engert</t>
  </si>
  <si>
    <t>Relevant because profile/source suggests exposure to Germany mobility angels; likely more sensitive to technical diligence gaps than large funds with internal teams.</t>
  </si>
  <si>
    <t>https://www.linkedin.com/search/results/people/?keywords=Jochen+Engert+angel+investor+robotics+AI+deeptech</t>
  </si>
  <si>
    <t>Johannes Reck</t>
  </si>
  <si>
    <t>https://www.linkedin.com/search/results/people/?keywords=Johannes+Reck+angel+investor+robotics+AI+deeptech</t>
  </si>
  <si>
    <t>Klaus Hommels</t>
  </si>
  <si>
    <t>Relevant because profile/source suggests exposure to DACH angel investor; likely more sensitive to technical diligence gaps than large funds with internal teams.</t>
  </si>
  <si>
    <t>https://www.linkedin.com/search/results/people/?keywords=Klaus+Hommels+angel+investor+robotics+AI+deeptech</t>
  </si>
  <si>
    <t>Lea-Sophie Cramer</t>
  </si>
  <si>
    <t>https://www.linkedin.com/search/results/people/?keywords=Lea-Sophie+Cramer+angel+investor+robotics+AI+deeptech</t>
  </si>
  <si>
    <t>Lukasz Gadowski</t>
  </si>
  <si>
    <t>Relevant because profile/source suggests exposure to Germany mobility/hardware angels; likely more sensitive to technical diligence gaps than large funds with internal teams.</t>
  </si>
  <si>
    <t>https://www.linkedin.com/search/results/people/?keywords=Lukasz+Gadowski+angel+investor+robotics+AI+deeptech</t>
  </si>
  <si>
    <t>https://shizune.co/investors/hardware-angel-investors-germany</t>
  </si>
  <si>
    <t>Marc Samwer</t>
  </si>
  <si>
    <t>https://www.linkedin.com/search/results/people/?keywords=Marc+Samwer+angel+investor+robotics+AI+deeptech</t>
  </si>
  <si>
    <t>Mario Götze</t>
  </si>
  <si>
    <t>Relevant because profile/source suggests exposure to Germany AI angels; likely more sensitive to technical diligence gaps than large funds with internal teams.</t>
  </si>
  <si>
    <t>https://www.linkedin.com/search/results/people/?keywords=Mario+G%C3%B6tze+angel+investor+robotics+AI+deeptech</t>
  </si>
  <si>
    <t>Max Viessmann</t>
  </si>
  <si>
    <t>Relevant because profile/source suggests exposure to Germany climate/deeptech angels; likely more sensitive to technical diligence gaps than large funds with internal teams.</t>
  </si>
  <si>
    <t>https://www.linkedin.com/search/results/people/?keywords=Max+Viessmann+angel+investor+robotics+AI+deeptech</t>
  </si>
  <si>
    <t>Oliver Samwer</t>
  </si>
  <si>
    <t>https://www.linkedin.com/search/results/people/?keywords=Oliver+Samwer+angel+investor+robotics+AI+deeptech</t>
  </si>
  <si>
    <t>Philipp Westermeyer</t>
  </si>
  <si>
    <t>https://www.linkedin.com/search/results/people/?keywords=Philipp+Westermeyer+angel+investor+robotics+AI+deeptech</t>
  </si>
  <si>
    <t>Robert Gentz</t>
  </si>
  <si>
    <t>https://www.linkedin.com/search/results/people/?keywords=Robert+Gentz+angel+investor+robotics+AI+deeptech</t>
  </si>
  <si>
    <t>Robin Haak</t>
  </si>
  <si>
    <t>Relevant because profile/source suggests exposure to Germany B2B/AI angels; likely more sensitive to technical diligence gaps than large funds with internal teams.</t>
  </si>
  <si>
    <t>https://www.linkedin.com/search/results/people/?keywords=Robin+Haak+angel+investor+robotics+AI+deeptech</t>
  </si>
  <si>
    <t>Rolf Schrömgens</t>
  </si>
  <si>
    <t>https://www.linkedin.com/search/results/people/?keywords=Rolf+Schr%C3%B6mgens+angel+investor+robotics+AI+deeptech</t>
  </si>
  <si>
    <t>Roman Kirsch</t>
  </si>
  <si>
    <t>Relevant because profile/source suggests exposure to Germany angel investor; likely more sensitive to technical diligence gaps than large funds with internal teams.</t>
  </si>
  <si>
    <t>https://www.linkedin.com/search/results/people/?keywords=Roman+Kirsch+angel+investor+robotics+AI+deeptech</t>
  </si>
  <si>
    <t>Sami Atiya</t>
  </si>
  <si>
    <t>Relevant because profile/source suggests exposure to industrial robotics operator angels; likely more sensitive to technical diligence gaps than large funds with internal teams.</t>
  </si>
  <si>
    <t>https://www.linkedin.com/search/results/people/?keywords=Sami+Atiya+angel+investor+robotics+AI+deeptech</t>
  </si>
  <si>
    <t>Stephan Jacquemot</t>
  </si>
  <si>
    <t>https://www.linkedin.com/search/results/people/?keywords=Stephan+Jacquemot+angel+investor+robotics+AI+deeptech</t>
  </si>
  <si>
    <t>Tobias Lütke</t>
  </si>
  <si>
    <t>Relevant because profile/source suggests exposure to operator/AI angels; likely more sensitive to technical diligence gaps than large funds with internal teams.</t>
  </si>
  <si>
    <t>https://www.linkedin.com/search/results/people/?keywords=Tobias+L%C3%BCtke+angel+investor+robotics+AI+deeptech</t>
  </si>
  <si>
    <t>Verena Pausder</t>
  </si>
  <si>
    <t>https://www.linkedin.com/search/results/people/?keywords=Verena+Pausder+angel+investor+robotics+AI+deeptech</t>
  </si>
  <si>
    <t>Ari Helgason</t>
  </si>
  <si>
    <t>Relevant because profile/source suggests exposure to Nordic angels; likely more sensitive to technical diligence gaps than large funds with internal teams.</t>
  </si>
  <si>
    <t>https://www.linkedin.com/search/results/people/?keywords=Ari+Helgason+angel+investor+robotics+AI+deeptech</t>
  </si>
  <si>
    <t>https://shizune.co/investors/angel-investors-finland</t>
  </si>
  <si>
    <t>Katja Toropainen</t>
  </si>
  <si>
    <t>Relevant because profile/source suggests exposure to Finland tech ecosystem; likely more sensitive to technical diligence gaps than large funds with internal teams.</t>
  </si>
  <si>
    <t>https://www.linkedin.com/search/results/people/?keywords=Katja+Toropainen+angel+investor+robotics+AI+deeptech</t>
  </si>
  <si>
    <t>Linda Liukas</t>
  </si>
  <si>
    <t>Relevant because profile/source suggests exposure to Finland tech angel; likely more sensitive to technical diligence gaps than large funds with internal teams.</t>
  </si>
  <si>
    <t>https://www.linkedin.com/search/results/people/?keywords=Linda+Liukas+angel+investor+robotics+AI+deeptech</t>
  </si>
  <si>
    <t>Mikael Hed</t>
  </si>
  <si>
    <t>Relevant because profile/source suggests exposure to Finland operator angels; likely more sensitive to technical diligence gaps than large funds with internal teams.</t>
  </si>
  <si>
    <t>https://www.linkedin.com/search/results/people/?keywords=Mikael+Hed+angel+investor+robotics+AI+deeptech</t>
  </si>
  <si>
    <t>Miki Kuusi</t>
  </si>
  <si>
    <t>https://www.linkedin.com/search/results/people/?keywords=Miki+Kuusi+angel+investor+robotics+AI+deeptech</t>
  </si>
  <si>
    <t>Peter Vesterbacka</t>
  </si>
  <si>
    <t>Relevant because profile/source suggests exposure to Finland startup ecosystem; likely more sensitive to technical diligence gaps than large funds with internal teams.</t>
  </si>
  <si>
    <t>https://www.linkedin.com/search/results/people/?keywords=Peter+Vesterbacka+angel+investor+robotics+AI+deeptech</t>
  </si>
  <si>
    <t>Riku Asikainen</t>
  </si>
  <si>
    <t>Relevant because profile/source suggests exposure to Finland angels; likely more sensitive to technical diligence gaps than large funds with internal teams.</t>
  </si>
  <si>
    <t>https://www.linkedin.com/search/results/people/?keywords=Riku+Asikainen+angel+investor+robotics+AI+deeptech</t>
  </si>
  <si>
    <t>Risto Siilasmaa</t>
  </si>
  <si>
    <t>Relevant because profile/source suggests exposure to Finland deeptech/cyber angels; likely more sensitive to technical diligence gaps than large funds with internal teams.</t>
  </si>
  <si>
    <t>https://www.linkedin.com/search/results/people/?keywords=Risto+Siilasmaa+angel+investor+robotics+AI+deeptech</t>
  </si>
  <si>
    <t>Daniel Ek</t>
  </si>
  <si>
    <t>Relevant because profile/source suggests exposure to Sweden operator angels; likely more sensitive to technical diligence gaps than large funds with internal teams.</t>
  </si>
  <si>
    <t>https://www.linkedin.com/search/results/people/?keywords=Daniel+Ek+angel+investor+robotics+AI+deeptech</t>
  </si>
  <si>
    <t>https://shizune.co/investors/angel-investors-sweden</t>
  </si>
  <si>
    <t>Gustaf Hagman</t>
  </si>
  <si>
    <t>Relevant because profile/source suggests exposure to Sweden robotics/software angels; likely more sensitive to technical diligence gaps than large funds with internal teams.</t>
  </si>
  <si>
    <t>https://www.linkedin.com/search/results/people/?keywords=Gustaf+Hagman+angel+investor+robotics+AI+deeptech</t>
  </si>
  <si>
    <t>https://shizune.co/investors/hardware-angel-investors</t>
  </si>
  <si>
    <t>Hampus Jakobsson</t>
  </si>
  <si>
    <t>Relevant because profile/source suggests exposure to Nordic climate/deeptech angels; likely more sensitive to technical diligence gaps than large funds with internal teams.</t>
  </si>
  <si>
    <t>https://www.linkedin.com/search/results/people/?keywords=Hampus+Jakobsson+angel+investor+robotics+AI+deeptech</t>
  </si>
  <si>
    <t>Henrik Persson</t>
  </si>
  <si>
    <t>Relevant because profile/source suggests exposure to Nordic angel investor; likely more sensitive to technical diligence gaps than large funds with internal teams.</t>
  </si>
  <si>
    <t>https://www.linkedin.com/search/results/people/?keywords=Henrik+Persson+angel+investor+robotics+AI+deeptech</t>
  </si>
  <si>
    <t>Hjalmar Winbladh</t>
  </si>
  <si>
    <t>Relevant because profile/source suggests exposure to Nordic AI/enterprise angels; likely more sensitive to technical diligence gaps than large funds with internal teams.</t>
  </si>
  <si>
    <t>https://www.linkedin.com/search/results/people/?keywords=Hjalmar+Winbladh+angel+investor+robotics+AI+deeptech</t>
  </si>
  <si>
    <t>Jacob de Geer</t>
  </si>
  <si>
    <t>https://www.linkedin.com/search/results/people/?keywords=Jacob+de+Geer+angel+investor+robotics+AI+deeptech</t>
  </si>
  <si>
    <t>Jane Walerud</t>
  </si>
  <si>
    <t>Relevant because profile/source suggests exposure to Nordic deeptech angels; likely more sensitive to technical diligence gaps than large funds with internal teams.</t>
  </si>
  <si>
    <t>https://www.linkedin.com/search/results/people/?keywords=Jane+Walerud+angel+investor+robotics+AI+deeptech</t>
  </si>
  <si>
    <t>Jessica Schultz</t>
  </si>
  <si>
    <t>https://www.linkedin.com/search/results/people/?keywords=Jessica+Schultz+angel+investor+robotics+AI+deeptech</t>
  </si>
  <si>
    <t>Johan Brenner</t>
  </si>
  <si>
    <t>https://www.linkedin.com/search/results/people/?keywords=Johan+Brenner+angel+investor+robotics+AI+deeptech</t>
  </si>
  <si>
    <t>Martin Lorentzon</t>
  </si>
  <si>
    <t>https://www.linkedin.com/search/results/people/?keywords=Martin+Lorentzon+angel+investor+robotics+AI+deeptech</t>
  </si>
  <si>
    <t>Niklas Östberg</t>
  </si>
  <si>
    <t>Relevant because profile/source suggests exposure to operator angels; likely more sensitive to technical diligence gaps than large funds with internal teams.</t>
  </si>
  <si>
    <t>https://www.linkedin.com/search/results/people/?keywords=Niklas+%C3%96stberg+angel+investor+robotics+AI+deeptech</t>
  </si>
  <si>
    <t>Pär-Jörgen Pärson</t>
  </si>
  <si>
    <t>Relevant because profile/source suggests exposure to Nordic deeptech investor; likely more sensitive to technical diligence gaps than large funds with internal teams.</t>
  </si>
  <si>
    <t>https://www.linkedin.com/search/results/people/?keywords=P%C3%A4r-J%C3%B6rgen+P%C3%A4rson+angel+investor+robotics+AI+deeptech</t>
  </si>
  <si>
    <t>Sebastian Knutsson</t>
  </si>
  <si>
    <t>https://www.linkedin.com/search/results/people/?keywords=Sebastian+Knutsson+angel+investor+robotics+AI+deeptech</t>
  </si>
  <si>
    <t>Sebastian Siemiatkowski</t>
  </si>
  <si>
    <t>https://www.linkedin.com/search/results/people/?keywords=Sebastian+Siemiatkowski+angel+investor+robotics+AI+deeptech</t>
  </si>
  <si>
    <t>Sofia Bendz</t>
  </si>
  <si>
    <t>Relevant because profile/source suggests exposure to Nordic operator angels; likely more sensitive to technical diligence gaps than large funds with internal teams.</t>
  </si>
  <si>
    <t>https://www.linkedin.com/search/results/people/?keywords=Sofia+Bendz+angel+investor+robotics+AI+deeptech</t>
  </si>
  <si>
    <t>Ted Persson</t>
  </si>
  <si>
    <t>Relevant because profile/source suggests exposure to Nordic early-stage investor; likely more sensitive to technical diligence gaps than large funds with internal teams.</t>
  </si>
  <si>
    <t>https://www.linkedin.com/search/results/people/?keywords=Ted+Persson+angel+investor+robotics+AI+deeptech</t>
  </si>
  <si>
    <t>Tommy Palm</t>
  </si>
  <si>
    <t>Relevant because profile/source suggests exposure to Nordic gaming/tech angels; likely more sensitive to technical diligence gaps than large funds with internal teams.</t>
  </si>
  <si>
    <t>https://www.linkedin.com/search/results/people/?keywords=Tommy+Palm+angel+investor+robotics+AI+deeptech</t>
  </si>
  <si>
    <t>Kima Ventures partners</t>
  </si>
  <si>
    <t>Micro VC / Angel Syndicate</t>
  </si>
  <si>
    <t>Relevant because profile/source suggests exposure to France seed investors; likely more sensitive to technical diligence gaps than large funds with internal teams.</t>
  </si>
  <si>
    <t>https://www.linkedin.com/search/results/people/?keywords=Kima+Ventures+partners+angel+investor+robotics+AI+deeptech</t>
  </si>
  <si>
    <t>https://shizune.co/investors/angel-investors-france</t>
  </si>
  <si>
    <t>Xavier Niel</t>
  </si>
  <si>
    <t>Relevant because profile/source suggests exposure to France hardware/AI angels; likely more sensitive to technical diligence gaps than large funds with internal teams.</t>
  </si>
  <si>
    <t>https://www.linkedin.com/search/results/people/?keywords=Xavier+Niel+angel+investor+robotics+AI+deeptech</t>
  </si>
  <si>
    <t>Runtastic founders</t>
  </si>
  <si>
    <t>Relevant because profile/source suggests exposure to Austria operator angels; likely more sensitive to technical diligence gaps than large funds with internal teams.</t>
  </si>
  <si>
    <t>https://www.linkedin.com/search/results/people/?keywords=Runtastic+founders+angel+investor+robotics+AI+deeptech</t>
  </si>
  <si>
    <t>https://shizune.co/investors/angel-investors-austria</t>
  </si>
  <si>
    <t>Liam Casey</t>
  </si>
  <si>
    <t>Ireland</t>
  </si>
  <si>
    <t>Relevant because profile/source suggests exposure to hardware/supply chain angels; likely more sensitive to technical diligence gaps than large funds with internal teams.</t>
  </si>
  <si>
    <t>https://www.linkedin.com/search/results/people/?keywords=Liam+Casey+angel+investor+robotics+AI+deeptech</t>
  </si>
  <si>
    <t>Andrew Ng</t>
  </si>
  <si>
    <t>https://www.linkedin.com/search/results/people/?keywords=Andrew+Ng+angel+investor+robotics+AI+deeptech</t>
  </si>
  <si>
    <t>Ayanna Howard</t>
  </si>
  <si>
    <t>Relevant because profile/source suggests exposure to robotics/AI angels; likely more sensitive to technical diligence gaps than large funds with internal teams.</t>
  </si>
  <si>
    <t>https://www.linkedin.com/search/results/people/?keywords=Ayanna+Howard+angel+investor+robotics+AI+deeptech</t>
  </si>
  <si>
    <t>https://shizune.co/investors/hardware-angel-investors-united-states</t>
  </si>
  <si>
    <t>Brett Adcock</t>
  </si>
  <si>
    <t>Relevant because profile/source suggests exposure to robotics/hardware angels; likely more sensitive to technical diligence gaps than large funds with internal teams.</t>
  </si>
  <si>
    <t>https://www.linkedin.com/search/results/people/?keywords=Brett+Adcock+angel+investor+robotics+AI+deeptech</t>
  </si>
  <si>
    <t>Bryan Salesky</t>
  </si>
  <si>
    <t>Relevant because profile/source suggests exposure to autonomy/robotics angels; likely more sensitive to technical diligence gaps than large funds with internal teams.</t>
  </si>
  <si>
    <t>https://www.linkedin.com/search/results/people/?keywords=Bryan+Salesky+angel+investor+robotics+AI+deeptech</t>
  </si>
  <si>
    <t>Chris Urmson</t>
  </si>
  <si>
    <t>https://www.linkedin.com/search/results/people/?keywords=Chris+Urmson+angel+investor+robotics+AI+deeptech</t>
  </si>
  <si>
    <t>Cyan Banister</t>
  </si>
  <si>
    <t>Relevant because profile/source suggests exposure to deeptech/AI angels; likely more sensitive to technical diligence gaps than large funds with internal teams.</t>
  </si>
  <si>
    <t>https://www.linkedin.com/search/results/people/?keywords=Cyan+Banister+angel+investor+robotics+AI+deeptech</t>
  </si>
  <si>
    <t>Daniela Rus</t>
  </si>
  <si>
    <t>https://www.linkedin.com/search/results/people/?keywords=Daniela+Rus+angel+investor+robotics+AI+deeptech</t>
  </si>
  <si>
    <t>Daphne Koller</t>
  </si>
  <si>
    <t>https://www.linkedin.com/search/results/people/?keywords=Daphne+Koller+angel+investor+robotics+AI+deeptech</t>
  </si>
  <si>
    <t>Dave Clark</t>
  </si>
  <si>
    <t>Relevant because profile/source suggests exposure to logistics/robotics operator angels; likely more sensitive to technical diligence gaps than large funds with internal teams.</t>
  </si>
  <si>
    <t>https://www.linkedin.com/search/results/people/?keywords=Dave+Clark+angel+investor+robotics+AI+deeptech</t>
  </si>
  <si>
    <t>Diane Greene</t>
  </si>
  <si>
    <t>Relevant because profile/source suggests exposure to enterprise/deeptech angels; likely more sensitive to technical diligence gaps than large funds with internal teams.</t>
  </si>
  <si>
    <t>https://www.linkedin.com/search/results/people/?keywords=Diane+Greene+angel+investor+robotics+AI+deeptech</t>
  </si>
  <si>
    <t>Drew Baglino</t>
  </si>
  <si>
    <t>Relevant because profile/source suggests exposure to hardware/automation angels; likely more sensitive to technical diligence gaps than large funds with internal teams.</t>
  </si>
  <si>
    <t>https://www.linkedin.com/search/results/people/?keywords=Drew+Baglino+angel+investor+robotics+AI+deeptech</t>
  </si>
  <si>
    <t>Dylan Taylor</t>
  </si>
  <si>
    <t>Relevant because profile/source suggests exposure to space/hardware angels; likely more sensitive to technical diligence gaps than large funds with internal teams.</t>
  </si>
  <si>
    <t>https://www.linkedin.com/search/results/people/?keywords=Dylan+Taylor+angel+investor+robotics+AI+deeptech</t>
  </si>
  <si>
    <t>Eric Schmidt</t>
  </si>
  <si>
    <t>https://www.linkedin.com/search/results/people/?keywords=Eric+Schmidt+angel+investor+robotics+AI+deeptech</t>
  </si>
  <si>
    <t>Esther Dyson</t>
  </si>
  <si>
    <t>Relevant because profile/source suggests exposure to deeptech/health/space angels; likely more sensitive to technical diligence gaps than large funds with internal teams.</t>
  </si>
  <si>
    <t>https://www.linkedin.com/search/results/people/?keywords=Esther+Dyson+angel+investor+robotics+AI+deeptech</t>
  </si>
  <si>
    <t>Fei-Fei Li</t>
  </si>
  <si>
    <t>Relevant because profile/source suggests exposure to AI/deeptech advisors; likely more sensitive to technical diligence gaps than large funds with internal teams.</t>
  </si>
  <si>
    <t>https://www.linkedin.com/search/results/people/?keywords=Fei-Fei+Li+angel+investor+robotics+AI+deeptech</t>
  </si>
  <si>
    <t>Helen Greiner</t>
  </si>
  <si>
    <t>Relevant because profile/source suggests exposure to robotics operator angels; likely more sensitive to technical diligence gaps than large funds with internal teams.</t>
  </si>
  <si>
    <t>https://www.linkedin.com/search/results/people/?keywords=Helen+Greiner+angel+investor+robotics+AI+deeptech</t>
  </si>
  <si>
    <t>Ion Stoica</t>
  </si>
  <si>
    <t>Relevant because profile/source suggests exposure to AI/cloud/deeptech angels; likely more sensitive to technical diligence gaps than large funds with internal teams.</t>
  </si>
  <si>
    <t>https://www.linkedin.com/search/results/people/?keywords=Ion+Stoica+angel+investor+robotics+AI+deeptech</t>
  </si>
  <si>
    <t>JB Straubel</t>
  </si>
  <si>
    <t>Relevant because profile/source suggests exposure to hardware/energy/automation angels; likely more sensitive to technical diligence gaps than large funds with internal teams.</t>
  </si>
  <si>
    <t>https://www.linkedin.com/search/results/people/?keywords=JB+Straubel+angel+investor+robotics+AI+deeptech</t>
  </si>
  <si>
    <t>Jason Calacanis</t>
  </si>
  <si>
    <t>Relevant because profile/source suggests exposure to US AI/hardware angels; likely more sensitive to technical diligence gaps than large funds with internal teams.</t>
  </si>
  <si>
    <t>https://www.linkedin.com/search/results/people/?keywords=Jason+Calacanis+angel+investor+robotics+AI+deeptech</t>
  </si>
  <si>
    <t>Jeff Wilke</t>
  </si>
  <si>
    <t>Relevant because profile/source suggests exposure to robotics/operations angels; likely more sensitive to technical diligence gaps than large funds with internal teams.</t>
  </si>
  <si>
    <t>https://www.linkedin.com/search/results/people/?keywords=Jeff+Wilke+angel+investor+robotics+AI+deeptech</t>
  </si>
  <si>
    <t>Joe Lonsdale</t>
  </si>
  <si>
    <t>Relevant because profile/source suggests exposure to US deeptech angels; likely more sensitive to technical diligence gaps than large funds with internal teams.</t>
  </si>
  <si>
    <t>https://www.linkedin.com/search/results/people/?keywords=Joe+Lonsdale+angel+investor+robotics+AI+deeptech</t>
  </si>
  <si>
    <t>Ken Goldberg</t>
  </si>
  <si>
    <t>Relevant because profile/source suggests exposure to robotics/automation advisor; likely more sensitive to technical diligence gaps than large funds with internal teams.</t>
  </si>
  <si>
    <t>https://www.linkedin.com/search/results/people/?keywords=Ken+Goldberg+angel+investor+robotics+AI+deeptech</t>
  </si>
  <si>
    <t>Marc Tarpenning</t>
  </si>
  <si>
    <t>Relevant because profile/source suggests exposure to hardware/deeptech operator angels; likely more sensitive to technical diligence gaps than large funds with internal teams.</t>
  </si>
  <si>
    <t>https://www.linkedin.com/search/results/people/?keywords=Marc+Tarpenning+angel+investor+robotics+AI+deeptech</t>
  </si>
  <si>
    <t>Packy McCormick</t>
  </si>
  <si>
    <t>Relevant because profile/source suggests exposure to deeptech/space/AI angels; likely more sensitive to technical diligence gaps than large funds with internal teams.</t>
  </si>
  <si>
    <t>https://www.linkedin.com/search/results/people/?keywords=Packy+McCormick+angel+investor+robotics+AI+deeptech</t>
  </si>
  <si>
    <t>Peter Thiel</t>
  </si>
  <si>
    <t>https://www.linkedin.com/search/results/people/?keywords=Peter+Thiel+angel+investor+robotics+AI+deeptech</t>
  </si>
  <si>
    <t>Pieter Abbeel</t>
  </si>
  <si>
    <t>https://www.linkedin.com/search/results/people/?keywords=Pieter+Abbeel+angel+investor+robotics+AI+deeptech</t>
  </si>
  <si>
    <t>Robert DeMaio</t>
  </si>
  <si>
    <t>https://www.linkedin.com/search/results/people/?keywords=Robert+DeMaio+angel+investor+robotics+AI+deeptech</t>
  </si>
  <si>
    <t>Robin Murphy</t>
  </si>
  <si>
    <t>Relevant because profile/source suggests exposure to robotics advisor/angel; likely more sensitive to technical diligence gaps than large funds with internal teams.</t>
  </si>
  <si>
    <t>https://www.linkedin.com/search/results/people/?keywords=Robin+Murphy+angel+investor+robotics+AI+deeptech</t>
  </si>
  <si>
    <t>Rodney Brooks</t>
  </si>
  <si>
    <t>https://www.linkedin.com/search/results/people/?keywords=Rodney+Brooks+angel+investor+robotics+AI+deeptech</t>
  </si>
  <si>
    <t>Sahin Boydas</t>
  </si>
  <si>
    <t>Relevant because profile/source suggests exposure to US/hardware angels; likely more sensitive to technical diligence gaps than large funds with internal teams.</t>
  </si>
  <si>
    <t>https://www.linkedin.com/search/results/people/?keywords=Sahin+Boydas+angel+investor+robotics+AI+deeptech</t>
  </si>
  <si>
    <t>Steve Jurvetson</t>
  </si>
  <si>
    <t>Relevant because profile/source suggests exposure to deeptech/robotics/space angels; likely more sensitive to technical diligence gaps than large funds with internal teams.</t>
  </si>
  <si>
    <t>https://www.linkedin.com/search/results/people/?keywords=Steve+Jurvetson+angel+investor+robotics+AI+deeptech</t>
  </si>
  <si>
    <t>Werner Vogels</t>
  </si>
  <si>
    <t>Relevant because profile/source suggests exposure to cloud/deeptech angels; likely more sensitive to technical diligence gaps than large funds with internal teams.</t>
  </si>
  <si>
    <t>https://www.linkedin.com/search/results/people/?keywords=Werner+Vogels+angel+investor+robotics+AI+deeptech</t>
  </si>
  <si>
    <t>Yann LeCun</t>
  </si>
  <si>
    <t>https://www.linkedin.com/search/results/people/?keywords=Yann+LeCun+angel+investor+robotics+AI+deeptech</t>
  </si>
  <si>
    <t>Dov Moran</t>
  </si>
  <si>
    <t>Israel</t>
  </si>
  <si>
    <t>Relevant because profile/source suggests exposure to hardware/deeptech angels; likely more sensitive to technical diligence gaps than large funds with internal teams.</t>
  </si>
  <si>
    <t>https://www.linkedin.com/search/results/people/?keywords=Dov+Moran+angel+investor+robotics+AI+deeptech</t>
  </si>
  <si>
    <t>Eyal Waldman</t>
  </si>
  <si>
    <t>Relevant because profile/source suggests exposure to hardware/semiconductor angels; likely more sensitive to technical diligence gaps than large funds with internal teams.</t>
  </si>
  <si>
    <t>https://www.linkedin.com/search/results/people/?keywords=Eyal+Waldman+angel+investor+robotics+AI+deeptech</t>
  </si>
  <si>
    <t>Marius Nacht</t>
  </si>
  <si>
    <t>Relevant because profile/source suggests exposure to cyber/deeptech angels; likely more sensitive to technical diligence gaps than large funds with internal teams.</t>
  </si>
  <si>
    <t>https://www.linkedin.com/search/results/people/?keywords=Marius+Nacht+angel+investor+robotics+AI+deeptech</t>
  </si>
  <si>
    <t>https://shizune.co/investors/angel-investors-israel</t>
  </si>
  <si>
    <t>Nandan Nilekani</t>
  </si>
  <si>
    <t>India</t>
  </si>
  <si>
    <t>Relevant because profile/source suggests exposure to deeptech/enterprise angels; likely more sensitive to technical diligence gaps than large funds with internal teams.</t>
  </si>
  <si>
    <t>https://www.linkedin.com/search/results/people/?keywords=Nandan+Nilekani+angel+investor+robotics+AI+deeptech</t>
  </si>
  <si>
    <t>https://shizune.co/investors/artificial-intelligence-angel-investors</t>
  </si>
  <si>
    <t>Ritesh Malik</t>
  </si>
  <si>
    <t>https://www.linkedin.com/search/results/people/?keywords=Ritesh+Malik+angel+investor+robotics+AI+deeptech</t>
  </si>
  <si>
    <t>Taizo Son</t>
  </si>
  <si>
    <t>Japan</t>
  </si>
  <si>
    <t>https://www.linkedin.com/search/results/people/?keywords=Taizo+Son+angel+investor+robotics+AI+deeptech</t>
  </si>
  <si>
    <t>Investment Lead / Angel Member Search</t>
  </si>
  <si>
    <t>Relevant because profile/source suggests exposure to UK angels/deeptech; likely more sensitive to technical diligence gaps than large funds with internal teams.</t>
  </si>
  <si>
    <t>https://www.linkedin.com/search/results/people/?keywords=Investment+Lead+%2F+Angel+Member+Search+angel+investor+robotics+AI+deeptech</t>
  </si>
  <si>
    <t>Markus Villig</t>
  </si>
  <si>
    <t>https://www.linkedin.com/search/results/people/?keywords=Markus+Villig+angel+investor+robotics+AI+deeptech</t>
  </si>
  <si>
    <t>https://shizune.co/investors/artificial-intelligence-angel-investors-europe</t>
  </si>
  <si>
    <t>Patrick Pichette</t>
  </si>
  <si>
    <t>Relevant because profile/source suggests exposure to AI/tech angels; likely more sensitive to technical diligence gaps than large funds with internal teams.</t>
  </si>
  <si>
    <t>https://www.linkedin.com/search/results/people/?keywords=Patrick+Pichette+angel+investor+robotics+AI+deeptech</t>
  </si>
  <si>
    <t>Ragnar Sass</t>
  </si>
  <si>
    <t>https://www.linkedin.com/search/results/people/?keywords=Ragnar+Sass+angel+investor+robotics+AI+deeptech</t>
  </si>
  <si>
    <t>Frédéric Mazzella</t>
  </si>
  <si>
    <t>Relevant because profile/source suggests exposure to France operator angels; likely more sensitive to technical diligence gaps than large funds with internal teams.</t>
  </si>
  <si>
    <t>https://www.linkedin.com/search/results/people/?keywords=Fr%C3%A9d%C3%A9ric+Mazzella+angel+investor+robotics+AI+deeptech</t>
  </si>
  <si>
    <t>Jean-David Chamboredon</t>
  </si>
  <si>
    <t>Relevant because profile/source suggests exposure to France angels; likely more sensitive to technical diligence gaps than large funds with internal teams.</t>
  </si>
  <si>
    <t>https://www.linkedin.com/search/results/people/?keywords=Jean-David+Chamboredon+angel+investor+robotics+AI+deeptech</t>
  </si>
  <si>
    <t>Marc Simoncini</t>
  </si>
  <si>
    <t>Relevant because profile/source suggests exposure to France angel investor; likely more sensitive to technical diligence gaps than large funds with internal teams.</t>
  </si>
  <si>
    <t>https://www.linkedin.com/search/results/people/?keywords=Marc+Simoncini+angel+investor+robotics+AI+deeptech</t>
  </si>
  <si>
    <t>Marie Ekeland</t>
  </si>
  <si>
    <t>https://www.linkedin.com/search/results/people/?keywords=Marie+Ekeland+angel+investor+robotics+AI+deeptech</t>
  </si>
  <si>
    <t>Nicolas Brusson</t>
  </si>
  <si>
    <t>https://www.linkedin.com/search/results/people/?keywords=Nicolas+Brusson+angel+investor+robotics+AI+deeptech</t>
  </si>
  <si>
    <t>Oussama Ammar</t>
  </si>
  <si>
    <t>Relevant because profile/source suggests exposure to France startup ecosystem; likely more sensitive to technical diligence gaps than large funds with internal teams.</t>
  </si>
  <si>
    <t>https://www.linkedin.com/search/results/people/?keywords=Oussama+Ammar+angel+investor+robotics+AI+deeptech</t>
  </si>
  <si>
    <t>Pierre Kosciusko-Morizet</t>
  </si>
  <si>
    <t>https://www.linkedin.com/search/results/people/?keywords=Pierre+Kosciusko-Morizet+angel+investor+robotics+AI+deeptech</t>
  </si>
  <si>
    <t>Hansi Hansmann</t>
  </si>
  <si>
    <t>Relevant because profile/source suggests exposure to Austria angels; likely more sensitive to technical diligence gaps than large funds with internal teams.</t>
  </si>
  <si>
    <t>https://www.linkedin.com/search/results/people/?keywords=Hansi+Hansmann+angel+investor+robotics+AI+deeptech</t>
  </si>
  <si>
    <t>Michael Altrichter</t>
  </si>
  <si>
    <t>Relevant because profile/source suggests exposure to Austria/DACH angels; likely more sensitive to technical diligence gaps than large funds with internal teams.</t>
  </si>
  <si>
    <t>https://www.linkedin.com/search/results/people/?keywords=Michael+Altrichter+angel+investor+robotics+AI+deeptech</t>
  </si>
  <si>
    <t>David Helgason</t>
  </si>
  <si>
    <t>https://www.linkedin.com/search/results/people/?keywords=David+Helgason+angel+investor+robotics+AI+deeptech</t>
  </si>
  <si>
    <t>https://shizune.co/investors/angel-investors-denmark</t>
  </si>
  <si>
    <t>Morten Lund</t>
  </si>
  <si>
    <t>https://www.linkedin.com/search/results/people/?keywords=Morten+Lund+angel+investor+robotics+AI+deeptech</t>
  </si>
  <si>
    <t>Tommy Ahlers</t>
  </si>
  <si>
    <t>https://www.linkedin.com/search/results/people/?keywords=Tommy+Ahlers+angel+investor+robotics+AI+deeptech</t>
  </si>
  <si>
    <t>Eilert Hanoa</t>
  </si>
  <si>
    <t>Norway</t>
  </si>
  <si>
    <t>https://www.linkedin.com/search/results/people/?keywords=Eilert+Hanoa+angel+investor+robotics+AI+deeptech</t>
  </si>
  <si>
    <t>https://shizune.co/investors/angel-investors-norway</t>
  </si>
  <si>
    <t>Johan Brand</t>
  </si>
  <si>
    <t>https://www.linkedin.com/search/results/people/?keywords=Johan+Brand+angel+investor+robotics+AI+deeptech</t>
  </si>
  <si>
    <t>Martin Hauge</t>
  </si>
  <si>
    <t>Relevant because profile/source suggests exposure to Nordic investor; likely more sensitive to technical diligence gaps than large funds with internal teams.</t>
  </si>
  <si>
    <t>https://www.linkedin.com/search/results/people/?keywords=Martin+Hauge+angel+investor+robotics+AI+deeptech</t>
  </si>
  <si>
    <t>Aaron Levie</t>
  </si>
  <si>
    <t>Relevant because profile/source suggests exposure to enterprise/AI angels; likely more sensitive to technical diligence gaps than large funds with internal teams.</t>
  </si>
  <si>
    <t>https://www.linkedin.com/search/results/people/?keywords=Aaron+Levie+angel+investor+robotics+AI+deeptech</t>
  </si>
  <si>
    <t>Aarthi Ramamurthy</t>
  </si>
  <si>
    <t>https://www.linkedin.com/search/results/people/?keywords=Aarthi+Ramamurthy+angel+investor+robotics+AI+deeptech</t>
  </si>
  <si>
    <t>Adam D'Angelo</t>
  </si>
  <si>
    <t>Relevant because profile/source suggests exposure to US AI angels; likely more sensitive to technical diligence gaps than large funds with internal teams.</t>
  </si>
  <si>
    <t>https://www.linkedin.com/search/results/people/?keywords=Adam+D%27Angelo+angel+investor+robotics+AI+deeptech</t>
  </si>
  <si>
    <t>Adam Nash</t>
  </si>
  <si>
    <t>Relevant because profile/source suggests exposure to fintech/operator angels; likely more sensitive to technical diligence gaps than large funds with internal teams.</t>
  </si>
  <si>
    <t>https://www.linkedin.com/search/results/people/?keywords=Adam+Nash+angel+investor+robotics+AI+deeptech</t>
  </si>
  <si>
    <t>Adeo Ressi</t>
  </si>
  <si>
    <t>Relevant because profile/source suggests exposure to global seed angels; likely more sensitive to technical diligence gaps than large funds with internal teams.</t>
  </si>
  <si>
    <t>https://www.linkedin.com/search/results/people/?keywords=Adeo+Ressi+angel+investor+robotics+AI+deeptech</t>
  </si>
  <si>
    <t>Alex Rampell</t>
  </si>
  <si>
    <t>Relevant because profile/source suggests exposure to AI/fintech investor; likely more sensitive to technical diligence gaps than large funds with internal teams.</t>
  </si>
  <si>
    <t>https://www.linkedin.com/search/results/people/?keywords=Alex+Rampell+angel+investor+robotics+AI+deeptech</t>
  </si>
  <si>
    <t>Alexis Ohanian</t>
  </si>
  <si>
    <t>Relevant because profile/source suggests exposure to US angels; likely more sensitive to technical diligence gaps than large funds with internal teams.</t>
  </si>
  <si>
    <t>https://www.linkedin.com/search/results/people/?keywords=Alexis+Ohanian+angel+investor+robotics+AI+deeptech</t>
  </si>
  <si>
    <t>Ali Ghodsi</t>
  </si>
  <si>
    <t>Relevant because profile/source suggests exposure to AI/data infrastructure angels; likely more sensitive to technical diligence gaps than large funds with internal teams.</t>
  </si>
  <si>
    <t>https://www.linkedin.com/search/results/people/?keywords=Ali+Ghodsi+angel+investor+robotics+AI+deeptech</t>
  </si>
  <si>
    <t>Ali Partovi</t>
  </si>
  <si>
    <t>Relevant because profile/source suggests exposure to US seed angels; likely more sensitive to technical diligence gaps than large funds with internal teams.</t>
  </si>
  <si>
    <t>https://www.linkedin.com/search/results/people/?keywords=Ali+Partovi+angel+investor+robotics+AI+deeptech</t>
  </si>
  <si>
    <t>Amit Singhal</t>
  </si>
  <si>
    <t>Relevant because profile/source suggests exposure to AI/operator angels; likely more sensitive to technical diligence gaps than large funds with internal teams.</t>
  </si>
  <si>
    <t>https://www.linkedin.com/search/results/people/?keywords=Amit+Singhal+angel+investor+robotics+AI+deeptech</t>
  </si>
  <si>
    <t>Amjad Masad</t>
  </si>
  <si>
    <t>Relevant because profile/source suggests exposure to AI/devtools angels; likely more sensitive to technical diligence gaps than large funds with internal teams.</t>
  </si>
  <si>
    <t>https://www.linkedin.com/search/results/people/?keywords=Amjad+Masad+angel+investor+robotics+AI+deeptech</t>
  </si>
  <si>
    <t>Anand Chandrasekaran</t>
  </si>
  <si>
    <t>Relevant because profile/source suggests exposure to AI/SaaS angels; likely more sensitive to technical diligence gaps than large funds with internal teams.</t>
  </si>
  <si>
    <t>https://www.linkedin.com/search/results/people/?keywords=Anand+Chandrasekaran+angel+investor+robotics+AI+deeptech</t>
  </si>
  <si>
    <t>Andrew Bialecki</t>
  </si>
  <si>
    <t>Relevant because profile/source suggests exposure to SaaS/operator angels; likely more sensitive to technical diligence gaps than large funds with internal teams.</t>
  </si>
  <si>
    <t>https://www.linkedin.com/search/results/people/?keywords=Andrew+Bialecki+angel+investor+robotics+AI+deeptech</t>
  </si>
  <si>
    <t>Andrew Chen</t>
  </si>
  <si>
    <t>Relevant because profile/source suggests exposure to consumer/AI investor; likely more sensitive to technical diligence gaps than large funds with internal teams.</t>
  </si>
  <si>
    <t>https://www.linkedin.com/search/results/people/?keywords=Andrew+Chen+angel+investor+robotics+AI+deeptech</t>
  </si>
  <si>
    <t>Anjney Midha</t>
  </si>
  <si>
    <t>Relevant because profile/source suggests exposure to AI/AR angels; likely more sensitive to technical diligence gaps than large funds with internal teams.</t>
  </si>
  <si>
    <t>https://www.linkedin.com/search/results/people/?keywords=Anjney+Midha+angel+investor+robotics+AI+deeptech</t>
  </si>
  <si>
    <t>Anthony Goldbloom</t>
  </si>
  <si>
    <t>Relevant because profile/source suggests exposure to AI angels; likely more sensitive to technical diligence gaps than large funds with internal teams.</t>
  </si>
  <si>
    <t>https://www.linkedin.com/search/results/people/?keywords=Anthony+Goldbloom+angel+investor+robotics+AI+deeptech</t>
  </si>
  <si>
    <t>Aparna Chennapragada</t>
  </si>
  <si>
    <t>Relevant because profile/source suggests exposure to AI/product angels; likely more sensitive to technical diligence gaps than large funds with internal teams.</t>
  </si>
  <si>
    <t>https://www.linkedin.com/search/results/people/?keywords=Aparna+Chennapragada+angel+investor+robotics+AI+deeptech</t>
  </si>
  <si>
    <t>Arash Ferdowsi</t>
  </si>
  <si>
    <t>https://www.linkedin.com/search/results/people/?keywords=Arash+Ferdowsi+angel+investor+robotics+AI+deeptech</t>
  </si>
  <si>
    <t>Aydin Senkut</t>
  </si>
  <si>
    <t>Relevant because profile/source suggests exposure to US early-stage angels; likely more sensitive to technical diligence gaps than large funds with internal teams.</t>
  </si>
  <si>
    <t>https://www.linkedin.com/search/results/people/?keywords=Aydin+Senkut+angel+investor+robotics+AI+deeptech</t>
  </si>
  <si>
    <t>Balaji Srinivasan</t>
  </si>
  <si>
    <t>Relevant because profile/source suggests exposure to US angel investor; likely more sensitive to technical diligence gaps than large funds with internal teams.</t>
  </si>
  <si>
    <t>https://www.linkedin.com/search/results/people/?keywords=Balaji+Srinivasan+angel+investor+robotics+AI+deeptech</t>
  </si>
  <si>
    <t>Ben Horowitz</t>
  </si>
  <si>
    <t>https://www.linkedin.com/search/results/people/?keywords=Ben+Horowitz+angel+investor+robotics+AI+deeptech</t>
  </si>
  <si>
    <t>Bertrand Diard</t>
  </si>
  <si>
    <t>Relevant because profile/source suggests exposure to Europe software/AI angels; likely more sensitive to technical diligence gaps than large funds with internal teams.</t>
  </si>
  <si>
    <t>https://www.linkedin.com/search/results/people/?keywords=Bertrand+Diard+angel+investor+robotics+AI+deeptech</t>
  </si>
  <si>
    <t>Bobby Goodlatte</t>
  </si>
  <si>
    <t>Relevant because profile/source suggests exposure to design/AI angels; likely more sensitive to technical diligence gaps than large funds with internal teams.</t>
  </si>
  <si>
    <t>https://www.linkedin.com/search/results/people/?keywords=Bobby+Goodlatte+angel+investor+robotics+AI+deeptech</t>
  </si>
  <si>
    <t>Bradley Horowitz</t>
  </si>
  <si>
    <t>https://www.linkedin.com/search/results/people/?keywords=Bradley+Horowitz+angel+investor+robotics+AI+deeptech</t>
  </si>
  <si>
    <t>Brian Chesky</t>
  </si>
  <si>
    <t>https://www.linkedin.com/search/results/people/?keywords=Brian+Chesky+angel+investor+robotics+AI+deeptech</t>
  </si>
  <si>
    <t>Charles Gorintin</t>
  </si>
  <si>
    <t>https://www.linkedin.com/search/results/people/?keywords=Charles+Gorintin+angel+investor+robotics+AI+deeptech</t>
  </si>
  <si>
    <t>Chris Sacca</t>
  </si>
  <si>
    <t>https://www.linkedin.com/search/results/people/?keywords=Chris+Sacca+angel+investor+robotics+AI+deeptech</t>
  </si>
  <si>
    <t>Chris Schagen</t>
  </si>
  <si>
    <t>Relevant because profile/source suggests exposure to DACH/Europe AI angels; likely more sensitive to technical diligence gaps than large funds with internal teams.</t>
  </si>
  <si>
    <t>https://www.linkedin.com/search/results/people/?keywords=Chris+Schagen+angel+investor+robotics+AI+deeptech</t>
  </si>
  <si>
    <t>Chris Wanstrath</t>
  </si>
  <si>
    <t>Relevant because profile/source suggests exposure to developer tools angels; likely more sensitive to technical diligence gaps than large funds with internal teams.</t>
  </si>
  <si>
    <t>https://www.linkedin.com/search/results/people/?keywords=Chris+Wanstrath+angel+investor+robotics+AI+deeptech</t>
  </si>
  <si>
    <t>Claire Hughes Johnson</t>
  </si>
  <si>
    <t>https://www.linkedin.com/search/results/people/?keywords=Claire+Hughes+Johnson+angel+investor+robotics+AI+deeptech</t>
  </si>
  <si>
    <t>Clément Delangue</t>
  </si>
  <si>
    <t>https://www.linkedin.com/search/results/people/?keywords=Cl%C3%A9ment+Delangue+angel+investor+robotics+AI+deeptech</t>
  </si>
  <si>
    <t>Connie Chan</t>
  </si>
  <si>
    <t>https://www.linkedin.com/search/results/people/?keywords=Connie+Chan+angel+investor+robotics+AI+deeptech</t>
  </si>
  <si>
    <t>Daniel Gross</t>
  </si>
  <si>
    <t>https://www.linkedin.com/search/results/people/?keywords=Daniel+Gross+angel+investor+robotics+AI+deeptech</t>
  </si>
  <si>
    <t>Dave McClure</t>
  </si>
  <si>
    <t>https://www.linkedin.com/search/results/people/?keywords=Dave+McClure+angel+investor+robotics+AI+deeptech</t>
  </si>
  <si>
    <t>David Heinemeier Hansson</t>
  </si>
  <si>
    <t>https://www.linkedin.com/search/results/people/?keywords=David+Heinemeier+Hansson+angel+investor+robotics+AI+deeptech</t>
  </si>
  <si>
    <t>David Sacks</t>
  </si>
  <si>
    <t>https://www.linkedin.com/search/results/people/?keywords=David+Sacks+angel+investor+robotics+AI+deeptech</t>
  </si>
  <si>
    <t>David Tisch</t>
  </si>
  <si>
    <t>https://www.linkedin.com/search/results/people/?keywords=David+Tisch+angel+investor+robotics+AI+deeptech</t>
  </si>
  <si>
    <t>David Ulevitch</t>
  </si>
  <si>
    <t>https://www.linkedin.com/search/results/people/?keywords=David+Ulevitch+angel+investor+robotics+AI+deeptech</t>
  </si>
  <si>
    <t>Des Traynor</t>
  </si>
  <si>
    <t>https://www.linkedin.com/search/results/people/?keywords=Des+Traynor+angel+investor+robotics+AI+deeptech</t>
  </si>
  <si>
    <t>Dev Ittycheria</t>
  </si>
  <si>
    <t>Relevant because profile/source suggests exposure to enterprise/operator angels; likely more sensitive to technical diligence gaps than large funds with internal teams.</t>
  </si>
  <si>
    <t>https://www.linkedin.com/search/results/people/?keywords=Dev+Ittycheria+angel+investor+robotics+AI+deeptech</t>
  </si>
  <si>
    <t>Drew Houston</t>
  </si>
  <si>
    <t>https://www.linkedin.com/search/results/people/?keywords=Drew+Houston+angel+investor+robotics+AI+deeptech</t>
  </si>
  <si>
    <t>Dustin Moskovitz</t>
  </si>
  <si>
    <t>https://www.linkedin.com/search/results/people/?keywords=Dustin+Moskovitz+angel+investor+robotics+AI+deeptech</t>
  </si>
  <si>
    <t>Dylan Field</t>
  </si>
  <si>
    <t>Relevant because profile/source suggests exposure to US operator angels; likely more sensitive to technical diligence gaps than large funds with internal teams.</t>
  </si>
  <si>
    <t>https://www.linkedin.com/search/results/people/?keywords=Dylan+Field+angel+investor+robotics+AI+deeptech</t>
  </si>
  <si>
    <t>Elad Gil</t>
  </si>
  <si>
    <t>https://www.linkedin.com/search/results/people/?keywords=Elad+Gil+angel+investor+robotics+AI+deeptech</t>
  </si>
  <si>
    <t>Emmett Shear</t>
  </si>
  <si>
    <t>https://www.linkedin.com/search/results/people/?keywords=Emmett+Shear+angel+investor+robotics+AI+deeptech</t>
  </si>
  <si>
    <t>Eoghan McCabe</t>
  </si>
  <si>
    <t>https://www.linkedin.com/search/results/people/?keywords=Eoghan+McCabe+angel+investor+robotics+AI+deeptech</t>
  </si>
  <si>
    <t>Fabrice Grinda</t>
  </si>
  <si>
    <t>Relevant because profile/source suggests exposure to marketplace/AI angels; likely more sensitive to technical diligence gaps than large funds with internal teams.</t>
  </si>
  <si>
    <t>https://www.linkedin.com/search/results/people/?keywords=Fabrice+Grinda+angel+investor+robotics+AI+deeptech</t>
  </si>
  <si>
    <t>Farzad Nazem</t>
  </si>
  <si>
    <t>https://www.linkedin.com/search/results/people/?keywords=Farzad+Nazem+angel+investor+robotics+AI+deeptech</t>
  </si>
  <si>
    <t>Florian Leibert</t>
  </si>
  <si>
    <t>Relevant because profile/source suggests exposure to AI/infrastructure angels; likely more sensitive to technical diligence gaps than large funds with internal teams.</t>
  </si>
  <si>
    <t>https://www.linkedin.com/search/results/people/?keywords=Florian+Leibert+angel+investor+robotics+AI+deeptech</t>
  </si>
  <si>
    <t>Frederic Kerrest</t>
  </si>
  <si>
    <t>Relevant because profile/source suggests exposure to US SaaS angels; likely more sensitive to technical diligence gaps than large funds with internal teams.</t>
  </si>
  <si>
    <t>https://www.linkedin.com/search/results/people/?keywords=Frederic+Kerrest+angel+investor+robotics+AI+deeptech</t>
  </si>
  <si>
    <t>Garry Tan</t>
  </si>
  <si>
    <t>https://www.linkedin.com/search/results/people/?keywords=Garry+Tan+angel+investor+robotics+AI+deeptech</t>
  </si>
  <si>
    <t>Gil Penchina</t>
  </si>
  <si>
    <t>https://www.linkedin.com/search/results/people/?keywords=Gil+Penchina+angel+investor+robotics+AI+deeptech</t>
  </si>
  <si>
    <t>Greg Brockman</t>
  </si>
  <si>
    <t>https://www.linkedin.com/search/results/people/?keywords=Greg+Brockman+angel+investor+robotics+AI+deeptech</t>
  </si>
  <si>
    <t>Guillermo Rauch</t>
  </si>
  <si>
    <t>Relevant because profile/source suggests exposure to developer tools/AI angels; likely more sensitive to technical diligence gaps than large funds with internal teams.</t>
  </si>
  <si>
    <t>https://www.linkedin.com/search/results/people/?keywords=Guillermo+Rauch+angel+investor+robotics+AI+deeptech</t>
  </si>
  <si>
    <t>Hadi Partovi</t>
  </si>
  <si>
    <t>https://www.linkedin.com/search/results/people/?keywords=Hadi+Partovi+angel+investor+robotics+AI+deeptech</t>
  </si>
  <si>
    <t>Howie Liu</t>
  </si>
  <si>
    <t>Relevant because profile/source suggests exposure to SaaS/AI operator angels; likely more sensitive to technical diligence gaps than large funds with internal teams.</t>
  </si>
  <si>
    <t>https://www.linkedin.com/search/results/people/?keywords=Howie+Liu+angel+investor+robotics+AI+deeptech</t>
  </si>
  <si>
    <t>Hunter Walk</t>
  </si>
  <si>
    <t>Relevant because profile/source suggests exposure to seed investor; likely more sensitive to technical diligence gaps than large funds with internal teams.</t>
  </si>
  <si>
    <t>https://www.linkedin.com/search/results/people/?keywords=Hunter+Walk+angel+investor+robotics+AI+deeptech</t>
  </si>
  <si>
    <t>Jack Altman</t>
  </si>
  <si>
    <t>https://www.linkedin.com/search/results/people/?keywords=Jack+Altman+angel+investor+robotics+AI+deeptech</t>
  </si>
  <si>
    <t>Jackson Moses</t>
  </si>
  <si>
    <t>Relevant because profile/source suggests exposure to AI/national security angels; likely more sensitive to technical diligence gaps than large funds with internal teams.</t>
  </si>
  <si>
    <t>https://www.linkedin.com/search/results/people/?keywords=Jackson+Moses+angel+investor+robotics+AI+deeptech</t>
  </si>
  <si>
    <t>Jacob Thornton</t>
  </si>
  <si>
    <t>https://www.linkedin.com/search/results/people/?keywords=Jacob+Thornton+angel+investor+robotics+AI+deeptech</t>
  </si>
  <si>
    <t>Janne Saarikko</t>
  </si>
  <si>
    <t>Relevant because profile/source suggests exposure to Nordic/US angels; likely more sensitive to technical diligence gaps than large funds with internal teams.</t>
  </si>
  <si>
    <t>https://www.linkedin.com/search/results/people/?keywords=Janne+Saarikko+angel+investor+robotics+AI+deeptech</t>
  </si>
  <si>
    <t>Jason Lemkin</t>
  </si>
  <si>
    <t>Relevant because profile/source suggests exposure to SaaS angels; likely more sensitive to technical diligence gaps than large funds with internal teams.</t>
  </si>
  <si>
    <t>https://www.linkedin.com/search/results/people/?keywords=Jason+Lemkin+angel+investor+robotics+AI+deeptech</t>
  </si>
  <si>
    <t>Jay Kreps</t>
  </si>
  <si>
    <t>Relevant because profile/source suggests exposure to data infra angels; likely more sensitive to technical diligence gaps than large funds with internal teams.</t>
  </si>
  <si>
    <t>https://www.linkedin.com/search/results/people/?keywords=Jay+Kreps+angel+investor+robotics+AI+deeptech</t>
  </si>
  <si>
    <t>Jeff Clavier</t>
  </si>
  <si>
    <t>Relevant because profile/source suggests exposure to US/Europe seed angels; likely more sensitive to technical diligence gaps than large funds with internal teams.</t>
  </si>
  <si>
    <t>https://www.linkedin.com/search/results/people/?keywords=Jeff+Clavier+angel+investor+robotics+AI+deeptech</t>
  </si>
  <si>
    <t>Jeff Dean</t>
  </si>
  <si>
    <t>https://www.linkedin.com/search/results/people/?keywords=Jeff+Dean+angel+investor+robotics+AI+deeptech</t>
  </si>
  <si>
    <t>Jeff Hammerbacher</t>
  </si>
  <si>
    <t>Relevant because profile/source suggests exposure to AI/data angels; likely more sensitive to technical diligence gaps than large funds with internal teams.</t>
  </si>
  <si>
    <t>https://www.linkedin.com/search/results/people/?keywords=Jeff+Hammerbacher+angel+investor+robotics+AI+deeptech</t>
  </si>
  <si>
    <t>Jeff Weiner</t>
  </si>
  <si>
    <t>https://www.linkedin.com/search/results/people/?keywords=Jeff+Weiner+angel+investor+robotics+AI+deeptech</t>
  </si>
  <si>
    <t>Jim Scheinman</t>
  </si>
  <si>
    <t>https://www.linkedin.com/search/results/people/?keywords=Jim+Scheinman+angel+investor+robotics+AI+deeptech</t>
  </si>
  <si>
    <t>John Collison</t>
  </si>
  <si>
    <t>https://www.linkedin.com/search/results/people/?keywords=John+Collison+angel+investor+robotics+AI+deeptech</t>
  </si>
  <si>
    <t>Josh Elman</t>
  </si>
  <si>
    <t>https://www.linkedin.com/search/results/people/?keywords=Josh+Elman+angel+investor+robotics+AI+deeptech</t>
  </si>
  <si>
    <t>Joshua Schachter</t>
  </si>
  <si>
    <t>https://www.linkedin.com/search/results/people/?keywords=Joshua+Schachter+angel+investor+robotics+AI+deeptech</t>
  </si>
  <si>
    <t>Julia Hartz</t>
  </si>
  <si>
    <t>https://www.linkedin.com/search/results/people/?keywords=Julia+Hartz+angel+investor+robotics+AI+deeptech</t>
  </si>
  <si>
    <t>Julien Chaumond</t>
  </si>
  <si>
    <t>Relevant because profile/source suggests exposure to AI/developer tools angels; likely more sensitive to technical diligence gaps than large funds with internal teams.</t>
  </si>
  <si>
    <t>https://www.linkedin.com/search/results/people/?keywords=Julien+Chaumond+angel+investor+robotics+AI+deeptech</t>
  </si>
  <si>
    <t>Justin Kan</t>
  </si>
  <si>
    <t>https://www.linkedin.com/search/results/people/?keywords=Justin+Kan+angel+investor+robotics+AI+deeptech</t>
  </si>
  <si>
    <t>Keith Rabois</t>
  </si>
  <si>
    <t>https://www.linkedin.com/search/results/people/?keywords=Keith+Rabois+angel+investor+robotics+AI+deeptech</t>
  </si>
  <si>
    <t>Kevin Mahaffey</t>
  </si>
  <si>
    <t>Relevant because profile/source suggests exposure to US AI/SaaS angels; likely more sensitive to technical diligence gaps than large funds with internal teams.</t>
  </si>
  <si>
    <t>https://www.linkedin.com/search/results/people/?keywords=Kevin+Mahaffey+angel+investor+robotics+AI+deeptech</t>
  </si>
  <si>
    <t>Kulveer Taggar</t>
  </si>
  <si>
    <t>https://www.linkedin.com/search/results/people/?keywords=Kulveer+Taggar+angel+investor+robotics+AI+deeptech</t>
  </si>
  <si>
    <t>Lachy Groom</t>
  </si>
  <si>
    <t>https://www.linkedin.com/search/results/people/?keywords=Lachy+Groom+angel+investor+robotics+AI+deeptech</t>
  </si>
  <si>
    <t>Lars Fjeldsoe-Nielsen</t>
  </si>
  <si>
    <t>Relevant because profile/source suggests exposure to Nordic/US seed angels; likely more sensitive to technical diligence gaps than large funds with internal teams.</t>
  </si>
  <si>
    <t>https://www.linkedin.com/search/results/people/?keywords=Lars+Fjeldsoe-Nielsen+angel+investor+robotics+AI+deeptech</t>
  </si>
  <si>
    <t>Lea Kissner</t>
  </si>
  <si>
    <t>Relevant because profile/source suggests exposure to security/AI angels; likely more sensitive to technical diligence gaps than large funds with internal teams.</t>
  </si>
  <si>
    <t>https://www.linkedin.com/search/results/people/?keywords=Lea+Kissner+angel+investor+robotics+AI+deeptech</t>
  </si>
  <si>
    <t>Leah Solivan</t>
  </si>
  <si>
    <t>https://www.linkedin.com/search/results/people/?keywords=Leah+Solivan+angel+investor+robotics+AI+deeptech</t>
  </si>
  <si>
    <t>Lenny Rachitsky</t>
  </si>
  <si>
    <t>Relevant because profile/source suggests exposure to SaaS/AI angels; likely more sensitive to technical diligence gaps than large funds with internal teams.</t>
  </si>
  <si>
    <t>https://www.linkedin.com/search/results/people/?keywords=Lenny+Rachitsky+angel+investor+robotics+AI+deeptech</t>
  </si>
  <si>
    <t>Linda Rottenberg</t>
  </si>
  <si>
    <t>Relevant because profile/source suggests exposure to global entrepreneurship angels; likely more sensitive to technical diligence gaps than large funds with internal teams.</t>
  </si>
  <si>
    <t>https://www.linkedin.com/search/results/people/?keywords=Linda+Rottenberg+angel+investor+robotics+AI+deeptech</t>
  </si>
  <si>
    <t>Marc Andreessen</t>
  </si>
  <si>
    <t>https://www.linkedin.com/search/results/people/?keywords=Marc+Andreessen+angel+investor+robotics+AI+deeptech</t>
  </si>
  <si>
    <t>Marc Benioff</t>
  </si>
  <si>
    <t>Relevant because profile/source suggests exposure to enterprise angels; likely more sensitive to technical diligence gaps than large funds with internal teams.</t>
  </si>
  <si>
    <t>https://www.linkedin.com/search/results/people/?keywords=Marc+Benioff+angel+investor+robotics+AI+deeptech</t>
  </si>
  <si>
    <t>Mark Cuban</t>
  </si>
  <si>
    <t>https://www.linkedin.com/search/results/people/?keywords=Mark+Cuban+angel+investor+robotics+AI+deeptech</t>
  </si>
  <si>
    <t>Martin Casado</t>
  </si>
  <si>
    <t>Relevant because profile/source suggests exposure to AI/infrastructure investor; likely more sensitive to technical diligence gaps than large funds with internal teams.</t>
  </si>
  <si>
    <t>https://www.linkedin.com/search/results/people/?keywords=Martin+Casado+angel+investor+robotics+AI+deeptech</t>
  </si>
  <si>
    <t>Marvin Liao</t>
  </si>
  <si>
    <t>Relevant because profile/source suggests exposure to global angel investor; likely more sensitive to technical diligence gaps than large funds with internal teams.</t>
  </si>
  <si>
    <t>https://www.linkedin.com/search/results/people/?keywords=Marvin+Liao+angel+investor+robotics+AI+deeptech</t>
  </si>
  <si>
    <t>Masha Bucher</t>
  </si>
  <si>
    <t>Relevant because profile/source suggests exposure to AI/consumer angels; likely more sensitive to technical diligence gaps than large funds with internal teams.</t>
  </si>
  <si>
    <t>https://www.linkedin.com/search/results/people/?keywords=Masha+Bucher+angel+investor+robotics+AI+deeptech</t>
  </si>
  <si>
    <t>Matei Zaharia</t>
  </si>
  <si>
    <t>https://www.linkedin.com/search/results/people/?keywords=Matei+Zaharia+angel+investor+robotics+AI+deeptech</t>
  </si>
  <si>
    <t>Max Levchin</t>
  </si>
  <si>
    <t>https://www.linkedin.com/search/results/people/?keywords=Max+Levchin+angel+investor+robotics+AI+deeptech</t>
  </si>
  <si>
    <t>Max Mullen</t>
  </si>
  <si>
    <t>Relevant because profile/source suggests exposure to US angel; likely more sensitive to technical diligence gaps than large funds with internal teams.</t>
  </si>
  <si>
    <t>https://www.linkedin.com/search/results/people/?keywords=Max+Mullen+angel+investor+robotics+AI+deeptech</t>
  </si>
  <si>
    <t>Michael Seibel</t>
  </si>
  <si>
    <t>Relevant because profile/source suggests exposure to YC/seed angels; likely more sensitive to technical diligence gaps than large funds with internal teams.</t>
  </si>
  <si>
    <t>https://www.linkedin.com/search/results/people/?keywords=Michael+Seibel+angel+investor+robotics+AI+deeptech</t>
  </si>
  <si>
    <t>Morten Primdahl</t>
  </si>
  <si>
    <t>https://www.linkedin.com/search/results/people/?keywords=Morten+Primdahl+angel+investor+robotics+AI+deeptech</t>
  </si>
  <si>
    <t>Mårten Mickos</t>
  </si>
  <si>
    <t>Relevant because profile/source suggests exposure to Finland/US operator angels; likely more sensitive to technical diligence gaps than large funds with internal teams.</t>
  </si>
  <si>
    <t>https://www.linkedin.com/search/results/people/?keywords=M%C3%A5rten+Mickos+angel+investor+robotics+AI+deeptech</t>
  </si>
  <si>
    <t>Nat Friedman</t>
  </si>
  <si>
    <t>Relevant because profile/source suggests exposure to US AI/operator angels; likely more sensitive to technical diligence gaps than large funds with internal teams.</t>
  </si>
  <si>
    <t>https://www.linkedin.com/search/results/people/?keywords=Nat+Friedman+angel+investor+robotics+AI+deeptech</t>
  </si>
  <si>
    <t>Naval Ravikant</t>
  </si>
  <si>
    <t>https://www.linkedin.com/search/results/people/?keywords=Naval+Ravikant+angel+investor+robotics+AI+deeptech</t>
  </si>
  <si>
    <t>Nicolas Dessaigne</t>
  </si>
  <si>
    <t>https://www.linkedin.com/search/results/people/?keywords=Nicolas+Dessaigne+angel+investor+robotics+AI+deeptech</t>
  </si>
  <si>
    <t>Nikhil Basu Trivedi</t>
  </si>
  <si>
    <t>Relevant because profile/source suggests exposure to consumer/AI angels; likely more sensitive to technical diligence gaps than large funds with internal teams.</t>
  </si>
  <si>
    <t>https://www.linkedin.com/search/results/people/?keywords=Nikhil+Basu+Trivedi+angel+investor+robotics+AI+deeptech</t>
  </si>
  <si>
    <t>Nir Eyal</t>
  </si>
  <si>
    <t>https://www.linkedin.com/search/results/people/?keywords=Nir+Eyal+angel+investor+robotics+AI+deeptech</t>
  </si>
  <si>
    <t>Nitesh Banta</t>
  </si>
  <si>
    <t>https://www.linkedin.com/search/results/people/?keywords=Nitesh+Banta+angel+investor+robotics+AI+deeptech</t>
  </si>
  <si>
    <t>Patrick Collison</t>
  </si>
  <si>
    <t>https://www.linkedin.com/search/results/people/?keywords=Patrick+Collison+angel+investor+robotics+AI+deeptech</t>
  </si>
  <si>
    <t>Paul Buchheit</t>
  </si>
  <si>
    <t>https://www.linkedin.com/search/results/people/?keywords=Paul+Buchheit+angel+investor+robotics+AI+deeptech</t>
  </si>
  <si>
    <t>Paul Graham</t>
  </si>
  <si>
    <t>https://www.linkedin.com/search/results/people/?keywords=Paul+Graham+angel+investor+robotics+AI+deeptech</t>
  </si>
  <si>
    <t>Ram Shriram</t>
  </si>
  <si>
    <t>https://www.linkedin.com/search/results/people/?keywords=Ram+Shriram+angel+investor+robotics+AI+deeptech</t>
  </si>
  <si>
    <t>Rana el Kaliouby</t>
  </si>
  <si>
    <t>https://www.linkedin.com/search/results/people/?keywords=Rana+el+Kaliouby+angel+investor+robotics+AI+deeptech</t>
  </si>
  <si>
    <t>Reid Hoffman</t>
  </si>
  <si>
    <t>Relevant because profile/source suggests exposure to AI/enterprise angels; likely more sensitive to technical diligence gaps than large funds with internal teams.</t>
  </si>
  <si>
    <t>https://www.linkedin.com/search/results/people/?keywords=Reid+Hoffman+angel+investor+robotics+AI+deeptech</t>
  </si>
  <si>
    <t>Richard Aberman</t>
  </si>
  <si>
    <t>Relevant because profile/source suggests exposure to US AI/devtools angels; likely more sensitive to technical diligence gaps than large funds with internal teams.</t>
  </si>
  <si>
    <t>https://www.linkedin.com/search/results/people/?keywords=Richard+Aberman+angel+investor+robotics+AI+deeptech</t>
  </si>
  <si>
    <t>Roman Smolevskiy</t>
  </si>
  <si>
    <t>https://www.linkedin.com/search/results/people/?keywords=Roman+Smolevskiy+angel+investor+robotics+AI+deeptech</t>
  </si>
  <si>
    <t>Ron Conway</t>
  </si>
  <si>
    <t>Relevant because profile/source suggests exposure to US super angels; likely more sensitive to technical diligence gaps than large funds with internal teams.</t>
  </si>
  <si>
    <t>https://www.linkedin.com/search/results/people/?keywords=Ron+Conway+angel+investor+robotics+AI+deeptech</t>
  </si>
  <si>
    <t>Ruchi Sanghvi</t>
  </si>
  <si>
    <t>https://www.linkedin.com/search/results/people/?keywords=Ruchi+Sanghvi+angel+investor+robotics+AI+deeptech</t>
  </si>
  <si>
    <t>Sam Altman</t>
  </si>
  <si>
    <t>https://www.linkedin.com/search/results/people/?keywords=Sam+Altman+angel+investor+robotics+AI+deeptech</t>
  </si>
  <si>
    <t>Sarah Guo</t>
  </si>
  <si>
    <t>Relevant because profile/source suggests exposure to AI investor; likely more sensitive to technical diligence gaps than large funds with internal teams.</t>
  </si>
  <si>
    <t>https://www.linkedin.com/search/results/people/?keywords=Sarah+Guo+angel+investor+robotics+AI+deeptech</t>
  </si>
  <si>
    <t>Satya Patel</t>
  </si>
  <si>
    <t>https://www.linkedin.com/search/results/people/?keywords=Satya+Patel+angel+investor+robotics+AI+deeptech</t>
  </si>
  <si>
    <t>Scott Banister</t>
  </si>
  <si>
    <t>https://www.linkedin.com/search/results/people/?keywords=Scott+Banister+angel+investor+robotics+AI+deeptech</t>
  </si>
  <si>
    <t>Scott Belsky</t>
  </si>
  <si>
    <t>https://www.linkedin.com/search/results/people/?keywords=Scott+Belsky+angel+investor+robotics+AI+deeptech</t>
  </si>
  <si>
    <t>Semil Shah</t>
  </si>
  <si>
    <t>https://www.linkedin.com/search/results/people/?keywords=Semil+Shah+angel+investor+robotics+AI+deeptech</t>
  </si>
  <si>
    <t>Shan-Lyn Ma</t>
  </si>
  <si>
    <t>https://www.linkedin.com/search/results/people/?keywords=Shan-Lyn+Ma+angel+investor+robotics+AI+deeptech</t>
  </si>
  <si>
    <t>Shervin Pishevar</t>
  </si>
  <si>
    <t>https://www.linkedin.com/search/results/people/?keywords=Shervin+Pishevar+angel+investor+robotics+AI+deeptech</t>
  </si>
  <si>
    <t>Siqi Chen</t>
  </si>
  <si>
    <t>Relevant because profile/source suggests exposure to US AI/gaming angels; likely more sensitive to technical diligence gaps than large funds with internal teams.</t>
  </si>
  <si>
    <t>https://www.linkedin.com/search/results/people/?keywords=Siqi+Chen+angel+investor+robotics+AI+deeptech</t>
  </si>
  <si>
    <t>Soleio Cuervo</t>
  </si>
  <si>
    <t>https://www.linkedin.com/search/results/people/?keywords=Soleio+Cuervo+angel+investor+robotics+AI+deeptech</t>
  </si>
  <si>
    <t>Sriram Krishnan</t>
  </si>
  <si>
    <t>https://www.linkedin.com/search/results/people/?keywords=Sriram+Krishnan+angel+investor+robotics+AI+deeptech</t>
  </si>
  <si>
    <t>Tom Preston-Werner</t>
  </si>
  <si>
    <t>https://www.linkedin.com/search/results/people/?keywords=Tom+Preston-Werner+angel+investor+robotics+AI+deeptech</t>
  </si>
  <si>
    <t>Vijay Krishnan</t>
  </si>
  <si>
    <t>https://www.linkedin.com/search/results/people/?keywords=Vijay+Krishnan+angel+investor+robotics+AI+deeptech</t>
  </si>
  <si>
    <t>Wei Guo</t>
  </si>
  <si>
    <t>Relevant because profile/source suggests exposure to US/China AI angels; likely more sensitive to technical diligence gaps than large funds with internal teams.</t>
  </si>
  <si>
    <t>https://www.linkedin.com/search/results/people/?keywords=Wei+Guo+angel+investor+robotics+AI+deeptech</t>
  </si>
  <si>
    <t>Zach Coelius</t>
  </si>
  <si>
    <t>https://www.linkedin.com/search/results/people/?keywords=Zach+Coelius+angel+investor+robotics+AI+deeptech</t>
  </si>
  <si>
    <t>Eyal Gura</t>
  </si>
  <si>
    <t>Relevant because profile/source suggests exposure to Israel angels; likely more sensitive to technical diligence gaps than large funds with internal teams.</t>
  </si>
  <si>
    <t>https://www.linkedin.com/search/results/people/?keywords=Eyal+Gura+angel+investor+robotics+AI+deeptech</t>
  </si>
  <si>
    <t>Gigi Levy-Weiss</t>
  </si>
  <si>
    <t>Relevant because profile/source suggests exposure to Israel seed angels; likely more sensitive to technical diligence gaps than large funds with internal teams.</t>
  </si>
  <si>
    <t>https://www.linkedin.com/search/results/people/?keywords=Gigi+Levy-Weiss+angel+investor+robotics+AI+deeptech</t>
  </si>
  <si>
    <t>Hillel Fuld</t>
  </si>
  <si>
    <t>Relevant because profile/source suggests exposure to Israel ecosystem; likely more sensitive to technical diligence gaps than large funds with internal teams.</t>
  </si>
  <si>
    <t>https://www.linkedin.com/search/results/people/?keywords=Hillel+Fuld+angel+investor+robotics+AI+deeptech</t>
  </si>
  <si>
    <t>Moshe Lichtman</t>
  </si>
  <si>
    <t>Relevant because profile/source suggests exposure to Israel angel investor; likely more sensitive to technical diligence gaps than large funds with internal teams.</t>
  </si>
  <si>
    <t>https://www.linkedin.com/search/results/people/?keywords=Moshe+Lichtman+angel+investor+robotics+AI+deeptech</t>
  </si>
  <si>
    <t>Tal Barnoach</t>
  </si>
  <si>
    <t>https://www.linkedin.com/search/results/people/?keywords=Tal+Barnoach+angel+investor+robotics+AI+deeptech</t>
  </si>
  <si>
    <t>Yossi Vardi</t>
  </si>
  <si>
    <t>https://www.linkedin.com/search/results/people/?keywords=Yossi+Vardi+angel+investor+robotics+AI+deeptech</t>
  </si>
  <si>
    <t>Zohar Gilon</t>
  </si>
  <si>
    <t>Relevant because profile/source suggests exposure to Israel tech angels; likely more sensitive to technical diligence gaps than large funds with internal teams.</t>
  </si>
  <si>
    <t>https://www.linkedin.com/search/results/people/?keywords=Zohar+Gilon+angel+investor+robotics+AI+deeptech</t>
  </si>
  <si>
    <t>Anupam Mittal</t>
  </si>
  <si>
    <t>https://www.linkedin.com/search/results/people/?keywords=Anupam+Mittal+angel+investor+robotics+AI+deeptech</t>
  </si>
  <si>
    <t>Binny Bansal</t>
  </si>
  <si>
    <t>https://www.linkedin.com/search/results/people/?keywords=Binny+Bansal+angel+investor+robotics+AI+deeptech</t>
  </si>
  <si>
    <t>Kunal Bahl</t>
  </si>
  <si>
    <t>https://www.linkedin.com/search/results/people/?keywords=Kunal+Bahl+angel+investor+robotics+AI+deeptech</t>
  </si>
  <si>
    <t>Kunal Shah</t>
  </si>
  <si>
    <t>https://www.linkedin.com/search/results/people/?keywords=Kunal+Shah+angel+investor+robotics+AI+deeptech</t>
  </si>
  <si>
    <t>Naveen Tewari</t>
  </si>
  <si>
    <t>https://www.linkedin.com/search/results/people/?keywords=Naveen+Tewari+angel+investor+robotics+AI+deeptech</t>
  </si>
  <si>
    <t>Rajan Anandan</t>
  </si>
  <si>
    <t>https://www.linkedin.com/search/results/people/?keywords=Rajan+Anandan+angel+investor+robotics+AI+deeptech</t>
  </si>
  <si>
    <t>Rohit Bansal</t>
  </si>
  <si>
    <t>https://www.linkedin.com/search/results/people/?keywords=Rohit+Bansal+angel+investor+robotics+AI+deeptech</t>
  </si>
  <si>
    <t>Sameer Nigam</t>
  </si>
  <si>
    <t>https://www.linkedin.com/search/results/people/?keywords=Sameer+Nigam+angel+investor+robotics+AI+deeptech</t>
  </si>
  <si>
    <t>Vijay Shekhar Sharma</t>
  </si>
  <si>
    <t>https://www.linkedin.com/search/results/people/?keywords=Vijay+Shekhar+Sharma+angel+investor+robotics+AI+deeptech</t>
  </si>
  <si>
    <t>Andrei Pitis</t>
  </si>
  <si>
    <t>Romania</t>
  </si>
  <si>
    <t>Relevant because profile/source suggests exposure to CEE tech angels; likely more sensitive to technical diligence gaps than large funds with internal teams.</t>
  </si>
  <si>
    <t>https://www.linkedin.com/search/results/people/?keywords=Andrei+Pitis+angel+investor+robotics+AI+deeptech</t>
  </si>
  <si>
    <t>Bogdan Iordache</t>
  </si>
  <si>
    <t>Relevant because profile/source suggests exposure to CEE startup ecosystem; likely more sensitive to technical diligence gaps than large funds with internal teams.</t>
  </si>
  <si>
    <t>https://www.linkedin.com/search/results/people/?keywords=Bogdan+Iordache+angel+investor+robotics+AI+deeptech</t>
  </si>
  <si>
    <t>Jan Barta</t>
  </si>
  <si>
    <t>Czech Republic</t>
  </si>
  <si>
    <t>Relevant because profile/source suggests exposure to CEE angels; likely more sensitive to technical diligence gaps than large funds with internal teams.</t>
  </si>
  <si>
    <t>https://www.linkedin.com/search/results/people/?keywords=Jan+Barta+angel+investor+robotics+AI+deeptech</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</si>
</sst>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d/mm/yyyy"/>
  </numFmts>
  <fonts count="37">
    <font>
      <sz val="11.0"/>
      <color rgb="FF000000"/>
      <name val="Carlito"/>
      <scheme val="minor"/>
    </font>
    <font>
      <b/>
      <sz val="14.0"/>
      <color rgb="FFFFFFFF"/>
      <name val="Carlito"/>
    </font>
    <font>
      <b/>
      <sz val="11.0"/>
      <color theme="1"/>
      <name val="Carlito"/>
    </font>
    <font>
      <b/>
      <sz val="11.0"/>
      <color rgb="FFFFFFFF"/>
      <name val="Carlito"/>
    </font>
    <font>
      <color theme="1"/>
      <name val="Carlito"/>
    </font>
    <font>
      <color theme="1"/>
      <name val="Carlito"/>
      <scheme val="minor"/>
    </font>
    <font>
      <sz val="11.0"/>
      <color theme="1"/>
      <name val="Carlito"/>
    </font>
    <font>
      <b/>
      <sz val="10.0"/>
      <color rgb="FFFFFFFF"/>
      <name val="Arial"/>
    </font>
    <font>
      <b/>
      <sz val="10.0"/>
      <color rgb="FFFFFFFF"/>
      <name val="Aptos"/>
    </font>
    <font>
      <sz val="10.0"/>
      <color rgb="FF203040"/>
      <name val="Aptos"/>
    </font>
    <font>
      <sz val="10.0"/>
      <color rgb="FF203040"/>
      <name val="Arial"/>
    </font>
    <font>
      <b/>
      <sz val="16.0"/>
      <color rgb="FFFFFFFF"/>
      <name val="Carlito"/>
    </font>
    <font/>
    <font>
      <sz val="11.0"/>
      <color rgb="FF000000"/>
      <name val="Carlito"/>
    </font>
    <font>
      <b/>
      <sz val="15.0"/>
      <color rgb="FFFFFFFF"/>
      <name val="Carlito"/>
    </font>
    <font>
      <b/>
      <color theme="1"/>
      <name val="Carlito"/>
      <scheme val="minor"/>
    </font>
    <font>
      <u/>
      <sz val="10.0"/>
      <color rgb="FF203040"/>
      <name val="Arial"/>
    </font>
    <font>
      <u/>
      <color rgb="FF0000FF"/>
    </font>
    <font>
      <sz val="9.0"/>
      <color rgb="FF203040"/>
      <name val="Arial"/>
    </font>
    <font>
      <u/>
      <sz val="10.0"/>
      <color rgb="FF0000FF"/>
      <name val="Arial"/>
    </font>
    <font>
      <u/>
      <sz val="10.0"/>
      <color rgb="FF203040"/>
      <name val="Aptos"/>
    </font>
    <font>
      <u/>
      <sz val="9.0"/>
      <color rgb="FF203040"/>
      <name val="Aptos"/>
    </font>
    <font>
      <u/>
      <sz val="10.0"/>
      <color rgb="FF0000FF"/>
      <name val="Arial"/>
    </font>
    <font>
      <u/>
      <sz val="10.0"/>
      <color rgb="FF203040"/>
      <name val="Arial"/>
    </font>
    <font>
      <u/>
      <sz val="10.0"/>
      <color rgb="FF203040"/>
      <name val="Aptos"/>
    </font>
    <font>
      <u/>
      <sz val="10.0"/>
      <color rgb="FF203040"/>
      <name val="Aptos"/>
    </font>
    <font>
      <u/>
      <sz val="10.0"/>
      <color rgb="FF467886"/>
      <name val="Arial"/>
    </font>
    <font>
      <strike/>
      <sz val="10.0"/>
      <color rgb="FF203040"/>
      <name val="Aptos"/>
    </font>
    <font>
      <strike/>
      <sz val="10.0"/>
      <color rgb="FF203040"/>
      <name val="Arial"/>
    </font>
    <font>
      <u/>
      <sz val="10.0"/>
      <color rgb="FF467886"/>
      <name val="Arial"/>
    </font>
    <font>
      <u/>
      <sz val="10.0"/>
      <color rgb="FF203040"/>
      <name val="Arial"/>
    </font>
    <font>
      <u/>
      <sz val="10.0"/>
      <color rgb="FF203040"/>
      <name val="Arial"/>
    </font>
    <font>
      <u/>
      <sz val="10.0"/>
      <color rgb="FF467886"/>
      <name val="Arial"/>
    </font>
    <font>
      <u/>
      <sz val="10.0"/>
      <color rgb="FF203040"/>
      <name val="Aptos"/>
    </font>
    <font>
      <strike/>
      <sz val="10.0"/>
      <color rgb="FF467886"/>
      <name val="Arial"/>
    </font>
    <font>
      <color rgb="FF000000"/>
      <name val="Carlito"/>
    </font>
    <font>
      <u/>
      <color rgb="FF000000"/>
      <name val="Carlito"/>
    </font>
  </fonts>
  <fills count="16">
    <fill>
      <patternFill patternType="none"/>
    </fill>
    <fill>
      <patternFill patternType="lightGray"/>
    </fill>
    <fill>
      <patternFill patternType="solid">
        <fgColor rgb="FF0F766E"/>
        <bgColor rgb="FF0F766E"/>
      </patternFill>
    </fill>
    <fill>
      <patternFill patternType="solid">
        <fgColor rgb="FFE5E7EB"/>
        <bgColor rgb="FFE5E7EB"/>
      </patternFill>
    </fill>
    <fill>
      <patternFill patternType="solid">
        <fgColor rgb="FF1F2937"/>
        <bgColor rgb="FF1F2937"/>
      </patternFill>
    </fill>
    <fill>
      <patternFill patternType="solid">
        <fgColor theme="4"/>
        <bgColor theme="4"/>
      </patternFill>
    </fill>
    <fill>
      <patternFill patternType="solid">
        <fgColor rgb="FFC1E4F5"/>
        <bgColor rgb="FFC1E4F5"/>
      </patternFill>
    </fill>
    <fill>
      <patternFill patternType="solid">
        <fgColor theme="0"/>
        <bgColor theme="0"/>
      </patternFill>
    </fill>
    <fill>
      <patternFill patternType="solid">
        <fgColor rgb="FF0F172A"/>
        <bgColor rgb="FF0F172A"/>
      </patternFill>
    </fill>
    <fill>
      <patternFill patternType="solid">
        <fgColor rgb="FF111827"/>
        <bgColor rgb="FF111827"/>
      </patternFill>
    </fill>
    <fill>
      <patternFill patternType="solid">
        <fgColor rgb="FF153B5B"/>
        <bgColor rgb="FF153B5B"/>
      </patternFill>
    </fill>
    <fill>
      <patternFill patternType="solid">
        <fgColor rgb="FFF3F4F6"/>
        <bgColor rgb="FFF3F4F6"/>
      </patternFill>
    </fill>
    <fill>
      <patternFill patternType="solid">
        <fgColor rgb="FFE2E8F0"/>
        <bgColor rgb="FFE2E8F0"/>
      </patternFill>
    </fill>
    <fill>
      <patternFill patternType="solid">
        <fgColor rgb="FFF4CCCC"/>
        <bgColor rgb="FFF4CCCC"/>
      </patternFill>
    </fill>
    <fill>
      <patternFill patternType="solid">
        <fgColor rgb="FFB6D7A8"/>
        <bgColor rgb="FFB6D7A8"/>
      </patternFill>
    </fill>
    <fill>
      <patternFill patternType="solid">
        <fgColor rgb="FFFFF2CC"/>
        <bgColor rgb="FFFFF2CC"/>
      </patternFill>
    </fill>
  </fills>
  <borders count="8">
    <border/>
    <border>
      <bottom style="medium">
        <color rgb="FF0B273D"/>
      </bottom>
    </border>
    <border>
      <left style="thin">
        <color rgb="FF9FB3C8"/>
      </left>
      <top style="thin">
        <color rgb="FF9FB3C8"/>
      </top>
    </border>
    <border>
      <top style="thin">
        <color rgb="FF9FB3C8"/>
      </top>
    </border>
    <border>
      <left style="thin">
        <color rgb="FF9FB3C8"/>
      </left>
    </border>
    <border>
      <right style="thin">
        <color rgb="FF9FB3C8"/>
      </right>
    </border>
    <border>
      <left style="thin">
        <color rgb="FF9FB3C8"/>
      </left>
      <bottom style="thin">
        <color rgb="FF9FB3C8"/>
      </bottom>
    </border>
    <border>
      <right style="thin">
        <color rgb="FF9FB3C8"/>
      </right>
      <bottom style="thin">
        <color rgb="FF9FB3C8"/>
      </bottom>
    </border>
  </borders>
  <cellStyleXfs count="1">
    <xf borderId="0" fillId="0" fontId="0" numFmtId="0" applyAlignment="1" applyFont="1"/>
  </cellStyleXfs>
  <cellXfs count="84">
    <xf borderId="0" fillId="0" fontId="0" numFmtId="0" xfId="0" applyAlignment="1" applyFont="1">
      <alignment readingOrder="0" shrinkToFit="0" vertical="bottom" wrapText="0"/>
    </xf>
    <xf borderId="0" fillId="2" fontId="1" numFmtId="0" xfId="0" applyAlignment="1" applyFill="1" applyFont="1">
      <alignment shrinkToFit="0" wrapText="1"/>
    </xf>
    <xf borderId="0" fillId="2" fontId="1" numFmtId="0" xfId="0" applyFont="1"/>
    <xf borderId="0" fillId="3" fontId="2" numFmtId="0" xfId="0" applyFill="1" applyFont="1"/>
    <xf borderId="0" fillId="4" fontId="3" numFmtId="0" xfId="0" applyFill="1" applyFont="1"/>
    <xf borderId="0" fillId="0" fontId="4" numFmtId="0" xfId="0" applyFont="1"/>
    <xf borderId="0" fillId="0" fontId="5" numFmtId="0" xfId="0" applyFont="1"/>
    <xf borderId="0" fillId="0" fontId="6" numFmtId="0" xfId="0" applyAlignment="1" applyFont="1">
      <alignment shrinkToFit="0" wrapText="1"/>
    </xf>
    <xf borderId="0" fillId="4" fontId="3" numFmtId="0" xfId="0" applyAlignment="1" applyFont="1">
      <alignment shrinkToFit="0" wrapText="1"/>
    </xf>
    <xf borderId="1" fillId="5" fontId="7" numFmtId="0" xfId="0" applyAlignment="1" applyBorder="1" applyFill="1" applyFont="1">
      <alignment readingOrder="0" shrinkToFit="0" vertical="center" wrapText="1"/>
    </xf>
    <xf borderId="1" fillId="5" fontId="8" numFmtId="0" xfId="0" applyAlignment="1" applyBorder="1" applyFont="1">
      <alignment shrinkToFit="0" vertical="center" wrapText="1"/>
    </xf>
    <xf borderId="0" fillId="5" fontId="7" numFmtId="0" xfId="0" applyAlignment="1" applyFont="1">
      <alignment readingOrder="0" shrinkToFit="0" vertical="center" wrapText="1"/>
    </xf>
    <xf borderId="0" fillId="6" fontId="9" numFmtId="0" xfId="0" applyAlignment="1" applyFill="1" applyFont="1">
      <alignment shrinkToFit="0" vertical="center" wrapText="1"/>
    </xf>
    <xf borderId="0" fillId="6" fontId="10" numFmtId="0" xfId="0" applyAlignment="1" applyFont="1">
      <alignment horizontal="center" readingOrder="0" shrinkToFit="0" vertical="center" wrapText="1"/>
    </xf>
    <xf borderId="0" fillId="6" fontId="9" numFmtId="164" xfId="0" applyAlignment="1" applyFont="1" applyNumberFormat="1">
      <alignment shrinkToFit="0" vertical="center" wrapText="1"/>
    </xf>
    <xf borderId="0" fillId="6" fontId="10" numFmtId="164" xfId="0" applyAlignment="1" applyFont="1" applyNumberFormat="1">
      <alignment readingOrder="0" shrinkToFit="0" vertical="center" wrapText="1"/>
    </xf>
    <xf borderId="0" fillId="6" fontId="10" numFmtId="0" xfId="0" applyAlignment="1" applyFont="1">
      <alignment readingOrder="0" shrinkToFit="0" vertical="center" wrapText="1"/>
    </xf>
    <xf borderId="0" fillId="7" fontId="9" numFmtId="0" xfId="0" applyAlignment="1" applyFill="1" applyFont="1">
      <alignment shrinkToFit="0" vertical="center" wrapText="1"/>
    </xf>
    <xf borderId="0" fillId="7" fontId="10" numFmtId="0" xfId="0" applyAlignment="1" applyFont="1">
      <alignment horizontal="center" readingOrder="0" shrinkToFit="0" vertical="center" wrapText="1"/>
    </xf>
    <xf borderId="0" fillId="7" fontId="9" numFmtId="164" xfId="0" applyAlignment="1" applyFont="1" applyNumberFormat="1">
      <alignment shrinkToFit="0" vertical="center" wrapText="1"/>
    </xf>
    <xf borderId="0" fillId="7" fontId="10" numFmtId="164" xfId="0" applyAlignment="1" applyFont="1" applyNumberFormat="1">
      <alignment readingOrder="0" shrinkToFit="0" vertical="center" wrapText="1"/>
    </xf>
    <xf borderId="0" fillId="8" fontId="11" numFmtId="0" xfId="0" applyAlignment="1" applyFill="1" applyFont="1">
      <alignment horizontal="center" vertical="center"/>
    </xf>
    <xf borderId="0" fillId="9" fontId="3" numFmtId="0" xfId="0" applyFill="1" applyFont="1"/>
    <xf borderId="2" fillId="10" fontId="3" numFmtId="0" xfId="0" applyAlignment="1" applyBorder="1" applyFill="1" applyFont="1">
      <alignment shrinkToFit="0" vertical="bottom" wrapText="0"/>
    </xf>
    <xf borderId="3" fillId="0" fontId="12" numFmtId="0" xfId="0" applyBorder="1" applyFont="1"/>
    <xf borderId="0" fillId="11" fontId="2" numFmtId="0" xfId="0" applyFill="1" applyFont="1"/>
    <xf borderId="0" fillId="0" fontId="6" numFmtId="0" xfId="0" applyAlignment="1" applyFont="1">
      <alignment horizontal="center"/>
    </xf>
    <xf borderId="4" fillId="0" fontId="13" numFmtId="0" xfId="0" applyAlignment="1" applyBorder="1" applyFont="1">
      <alignment shrinkToFit="0" vertical="bottom" wrapText="0"/>
    </xf>
    <xf borderId="5" fillId="0" fontId="13" numFmtId="0" xfId="0" applyAlignment="1" applyBorder="1" applyFont="1">
      <alignment shrinkToFit="0" vertical="bottom" wrapText="0"/>
    </xf>
    <xf borderId="0" fillId="8" fontId="14" numFmtId="0" xfId="0" applyAlignment="1" applyFont="1">
      <alignment horizontal="center"/>
    </xf>
    <xf borderId="0" fillId="0" fontId="6" numFmtId="0" xfId="0" applyAlignment="1" applyFont="1">
      <alignment shrinkToFit="0" vertical="top" wrapText="1"/>
    </xf>
    <xf borderId="6" fillId="0" fontId="13" numFmtId="0" xfId="0" applyAlignment="1" applyBorder="1" applyFont="1">
      <alignment shrinkToFit="0" vertical="bottom" wrapText="0"/>
    </xf>
    <xf borderId="7" fillId="0" fontId="13" numFmtId="0" xfId="0" applyAlignment="1" applyBorder="1" applyFont="1">
      <alignment shrinkToFit="0" vertical="bottom" wrapText="0"/>
    </xf>
    <xf borderId="0" fillId="7" fontId="10" numFmtId="0" xfId="0" applyAlignment="1" applyFont="1">
      <alignment readingOrder="0" shrinkToFit="0" vertical="center" wrapText="1"/>
    </xf>
    <xf borderId="0" fillId="8" fontId="3" numFmtId="0" xfId="0" applyAlignment="1" applyFont="1">
      <alignment shrinkToFit="0" wrapText="1"/>
    </xf>
    <xf borderId="0" fillId="8" fontId="1" numFmtId="0" xfId="0" applyAlignment="1" applyFont="1">
      <alignment horizontal="left"/>
    </xf>
    <xf borderId="0" fillId="12" fontId="2" numFmtId="0" xfId="0" applyAlignment="1" applyFill="1" applyFont="1">
      <alignment shrinkToFit="0" wrapText="1"/>
    </xf>
    <xf borderId="0" fillId="0" fontId="15" numFmtId="0" xfId="0" applyAlignment="1" applyFont="1">
      <alignment readingOrder="0"/>
    </xf>
    <xf borderId="0" fillId="0" fontId="5" numFmtId="0" xfId="0" applyAlignment="1" applyFont="1">
      <alignment readingOrder="0"/>
    </xf>
    <xf borderId="0" fillId="0" fontId="5" numFmtId="164" xfId="0" applyAlignment="1" applyFont="1" applyNumberFormat="1">
      <alignment horizontal="left" readingOrder="0" vertical="top"/>
    </xf>
    <xf borderId="0" fillId="0" fontId="5" numFmtId="0" xfId="0" applyAlignment="1" applyFont="1">
      <alignment horizontal="left" readingOrder="0" vertical="top"/>
    </xf>
    <xf borderId="0" fillId="0" fontId="5" numFmtId="0" xfId="0" applyAlignment="1" applyFont="1">
      <alignment horizontal="left" vertical="top"/>
    </xf>
    <xf borderId="0" fillId="7" fontId="5" numFmtId="0" xfId="0" applyAlignment="1" applyFont="1">
      <alignment readingOrder="0"/>
    </xf>
    <xf borderId="0" fillId="7" fontId="16" numFmtId="0" xfId="0" applyAlignment="1" applyFont="1">
      <alignment readingOrder="0" shrinkToFit="0" vertical="center" wrapText="1"/>
    </xf>
    <xf borderId="0" fillId="13" fontId="10" numFmtId="0" xfId="0" applyAlignment="1" applyFill="1" applyFont="1">
      <alignment readingOrder="0" shrinkToFit="0" vertical="center" wrapText="1"/>
    </xf>
    <xf borderId="0" fillId="7" fontId="17" numFmtId="0" xfId="0" applyAlignment="1" applyFont="1">
      <alignment readingOrder="0"/>
    </xf>
    <xf quotePrefix="1" borderId="0" fillId="6" fontId="9" numFmtId="0" xfId="0" applyAlignment="1" applyFont="1">
      <alignment readingOrder="0" shrinkToFit="0" vertical="center" wrapText="1"/>
    </xf>
    <xf borderId="0" fillId="7" fontId="18" numFmtId="0" xfId="0" applyAlignment="1" applyFont="1">
      <alignment readingOrder="0" shrinkToFit="0" vertical="center" wrapText="1"/>
    </xf>
    <xf borderId="0" fillId="7" fontId="19" numFmtId="0" xfId="0" applyAlignment="1" applyFont="1">
      <alignment readingOrder="0" shrinkToFit="0" vertical="center" wrapText="1"/>
    </xf>
    <xf borderId="0" fillId="7" fontId="20" numFmtId="0" xfId="0" applyAlignment="1" applyFont="1">
      <alignment readingOrder="0" shrinkToFit="0" vertical="center" wrapText="1"/>
    </xf>
    <xf borderId="0" fillId="7" fontId="10" numFmtId="0" xfId="0" applyAlignment="1" applyFont="1">
      <alignment readingOrder="0" shrinkToFit="0" vertical="center" wrapText="1"/>
    </xf>
    <xf borderId="0" fillId="14" fontId="10" numFmtId="0" xfId="0" applyAlignment="1" applyFill="1" applyFont="1">
      <alignment readingOrder="0" shrinkToFit="0" vertical="center" wrapText="1"/>
    </xf>
    <xf borderId="0" fillId="6" fontId="21" numFmtId="0" xfId="0" applyAlignment="1" applyFont="1">
      <alignment shrinkToFit="0" vertical="center" wrapText="1"/>
    </xf>
    <xf borderId="0" fillId="6" fontId="22" numFmtId="0" xfId="0" applyAlignment="1" applyFont="1">
      <alignment readingOrder="0" shrinkToFit="0" vertical="center" wrapText="1"/>
    </xf>
    <xf borderId="0" fillId="6" fontId="23" numFmtId="0" xfId="0" applyAlignment="1" applyFont="1">
      <alignment readingOrder="0" shrinkToFit="0" vertical="center" wrapText="1"/>
    </xf>
    <xf borderId="0" fillId="7" fontId="24" numFmtId="0" xfId="0" applyAlignment="1" applyFont="1">
      <alignment shrinkToFit="0" vertical="center" wrapText="1"/>
    </xf>
    <xf borderId="0" fillId="6" fontId="25" numFmtId="0" xfId="0" applyAlignment="1" applyFont="1">
      <alignment shrinkToFit="0" vertical="center" wrapText="1"/>
    </xf>
    <xf borderId="0" fillId="6" fontId="26" numFmtId="0" xfId="0" applyAlignment="1" applyFont="1">
      <alignment readingOrder="0" shrinkToFit="0" vertical="center" wrapText="1"/>
    </xf>
    <xf borderId="0" fillId="6" fontId="27" numFmtId="0" xfId="0" applyAlignment="1" applyFont="1">
      <alignment shrinkToFit="0" vertical="center" wrapText="1"/>
    </xf>
    <xf borderId="0" fillId="6" fontId="28" numFmtId="0" xfId="0" applyAlignment="1" applyFont="1">
      <alignment readingOrder="0" shrinkToFit="0" vertical="center" wrapText="1"/>
    </xf>
    <xf borderId="0" fillId="6" fontId="28" numFmtId="0" xfId="0" applyAlignment="1" applyFont="1">
      <alignment horizontal="center" readingOrder="0" shrinkToFit="0" vertical="center" wrapText="1"/>
    </xf>
    <xf borderId="0" fillId="6" fontId="27" numFmtId="164" xfId="0" applyAlignment="1" applyFont="1" applyNumberFormat="1">
      <alignment shrinkToFit="0" vertical="center" wrapText="1"/>
    </xf>
    <xf borderId="0" fillId="7" fontId="29" numFmtId="0" xfId="0" applyAlignment="1" applyFont="1">
      <alignment readingOrder="0" shrinkToFit="0" vertical="center" wrapText="1"/>
    </xf>
    <xf borderId="0" fillId="7" fontId="27" numFmtId="0" xfId="0" applyAlignment="1" applyFont="1">
      <alignment shrinkToFit="0" vertical="center" wrapText="1"/>
    </xf>
    <xf borderId="0" fillId="7" fontId="28" numFmtId="0" xfId="0" applyAlignment="1" applyFont="1">
      <alignment readingOrder="0" shrinkToFit="0" vertical="center" wrapText="1"/>
    </xf>
    <xf borderId="0" fillId="7" fontId="28" numFmtId="0" xfId="0" applyAlignment="1" applyFont="1">
      <alignment horizontal="center" readingOrder="0" shrinkToFit="0" vertical="center" wrapText="1"/>
    </xf>
    <xf borderId="0" fillId="7" fontId="28" numFmtId="0" xfId="0" applyAlignment="1" applyFont="1">
      <alignment readingOrder="0" shrinkToFit="0" vertical="center" wrapText="1"/>
    </xf>
    <xf borderId="0" fillId="7" fontId="27" numFmtId="164" xfId="0" applyAlignment="1" applyFont="1" applyNumberFormat="1">
      <alignment shrinkToFit="0" vertical="center" wrapText="1"/>
    </xf>
    <xf borderId="0" fillId="6" fontId="30" numFmtId="0" xfId="0" applyAlignment="1" applyFont="1">
      <alignment readingOrder="0" shrinkToFit="0" vertical="center" wrapText="1"/>
    </xf>
    <xf borderId="0" fillId="6" fontId="28" numFmtId="0" xfId="0" applyAlignment="1" applyFont="1">
      <alignment readingOrder="0" shrinkToFit="0" vertical="center" wrapText="1"/>
    </xf>
    <xf borderId="0" fillId="0" fontId="9" numFmtId="0" xfId="0" applyAlignment="1" applyFont="1">
      <alignment shrinkToFit="0" vertical="center" wrapText="1"/>
    </xf>
    <xf borderId="0" fillId="0" fontId="31" numFmtId="0" xfId="0" applyAlignment="1" applyFont="1">
      <alignment readingOrder="0" shrinkToFit="0" vertical="center" wrapText="1"/>
    </xf>
    <xf borderId="0" fillId="0" fontId="9" numFmtId="164" xfId="0" applyAlignment="1" applyFont="1" applyNumberFormat="1">
      <alignment shrinkToFit="0" vertical="center" wrapText="1"/>
    </xf>
    <xf borderId="0" fillId="0" fontId="10" numFmtId="0" xfId="0" applyAlignment="1" applyFont="1">
      <alignment readingOrder="0" shrinkToFit="0" vertical="center" wrapText="1"/>
    </xf>
    <xf borderId="0" fillId="15" fontId="10" numFmtId="0" xfId="0" applyAlignment="1" applyFill="1" applyFont="1">
      <alignment horizontal="center" readingOrder="0" shrinkToFit="0" vertical="center" wrapText="1"/>
    </xf>
    <xf borderId="0" fillId="0" fontId="27" numFmtId="0" xfId="0" applyAlignment="1" applyFont="1">
      <alignment shrinkToFit="0" vertical="center" wrapText="1"/>
    </xf>
    <xf borderId="0" fillId="0" fontId="32" numFmtId="0" xfId="0" applyAlignment="1" applyFont="1">
      <alignment readingOrder="0" shrinkToFit="0" vertical="center" wrapText="1"/>
    </xf>
    <xf borderId="0" fillId="0" fontId="33" numFmtId="0" xfId="0" applyAlignment="1" applyFont="1">
      <alignment shrinkToFit="0" vertical="center" wrapText="1"/>
    </xf>
    <xf borderId="0" fillId="0" fontId="34" numFmtId="0" xfId="0" applyAlignment="1" applyFont="1">
      <alignment readingOrder="0" shrinkToFit="0" vertical="center" wrapText="1"/>
    </xf>
    <xf borderId="0" fillId="0" fontId="27" numFmtId="164" xfId="0" applyAlignment="1" applyFont="1" applyNumberFormat="1">
      <alignment shrinkToFit="0" vertical="center" wrapText="1"/>
    </xf>
    <xf borderId="0" fillId="0" fontId="28" numFmtId="0" xfId="0" applyAlignment="1" applyFont="1">
      <alignment readingOrder="0" shrinkToFit="0" vertical="center" wrapText="1"/>
    </xf>
    <xf borderId="0" fillId="0" fontId="10" numFmtId="164" xfId="0" applyAlignment="1" applyFont="1" applyNumberFormat="1">
      <alignment readingOrder="0" shrinkToFit="0" vertical="center" wrapText="1"/>
    </xf>
    <xf borderId="0" fillId="0" fontId="35" numFmtId="0" xfId="0" applyAlignment="1" applyFont="1">
      <alignment horizontal="left" readingOrder="0" vertical="top"/>
    </xf>
    <xf borderId="0" fillId="0" fontId="36" numFmtId="0" xfId="0" applyAlignment="1" applyFont="1">
      <alignment horizontal="left" readingOrder="0" vertical="top"/>
    </xf>
  </cellXfs>
  <cellStyles count="1">
    <cellStyle xfId="0" name="Normal" builtinId="0"/>
  </cellStyles>
  <dxfs count="1">
    <dxf>
      <font/>
      <fill>
        <patternFill patternType="none"/>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customschemas.google.com/relationships/workbookmetadata" Target="metadata"/><Relationship Id="rId14" Type="http://schemas.openxmlformats.org/officeDocument/2006/relationships/worksheet" Target="worksheets/sheet11.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90" Type="http://schemas.openxmlformats.org/officeDocument/2006/relationships/hyperlink" Target="https://shizune.co/investors/artificial-intelligence-angel-investors-united-states" TargetMode="External"/><Relationship Id="rId194" Type="http://schemas.openxmlformats.org/officeDocument/2006/relationships/hyperlink" Target="https://www.linkedin.com/search/results/people/?keywords=Europe+%2F+Global+Superangel" TargetMode="External"/><Relationship Id="rId193" Type="http://schemas.openxmlformats.org/officeDocument/2006/relationships/hyperlink" Target="https://superangel.io/" TargetMode="External"/><Relationship Id="rId192" Type="http://schemas.openxmlformats.org/officeDocument/2006/relationships/hyperlink" Target="https://shizune.co/investors/artificial-intelligence-angel-investors-united-states" TargetMode="External"/><Relationship Id="rId191" Type="http://schemas.openxmlformats.org/officeDocument/2006/relationships/hyperlink" Target="https://www.linkedin.com/search/results/people/?keywords=Gokul+Rajaram+Individual+Angel" TargetMode="External"/><Relationship Id="rId187" Type="http://schemas.openxmlformats.org/officeDocument/2006/relationships/hyperlink" Target="https://shizune.co/investors/artificial-intelligence-angel-investors-united-states" TargetMode="External"/><Relationship Id="rId186" Type="http://schemas.openxmlformats.org/officeDocument/2006/relationships/hyperlink" Target="https://pipeseed.com/investor/george-godula-218241" TargetMode="External"/><Relationship Id="rId185" Type="http://schemas.openxmlformats.org/officeDocument/2006/relationships/hyperlink" Target="https://www.linkedin.com/search/results/people/?keywords=George+Godula+Individual+Angel" TargetMode="External"/><Relationship Id="rId184" Type="http://schemas.openxmlformats.org/officeDocument/2006/relationships/hyperlink" Target="https://pipeseed.com/investor/george-godula-218241" TargetMode="External"/><Relationship Id="rId189" Type="http://schemas.openxmlformats.org/officeDocument/2006/relationships/hyperlink" Target="https://shizune.co/investors/artificial-intelligence-angel-investors-united-states" TargetMode="External"/><Relationship Id="rId188" Type="http://schemas.openxmlformats.org/officeDocument/2006/relationships/hyperlink" Target="https://www.linkedin.com/search/results/people/?keywords=Georges+Harik+Individual+Angel" TargetMode="External"/><Relationship Id="rId183" Type="http://schemas.openxmlformats.org/officeDocument/2006/relationships/hyperlink" Target="https://shizune.co/investors/artificial-intelligence-angel-investors-united-states" TargetMode="External"/><Relationship Id="rId182" Type="http://schemas.openxmlformats.org/officeDocument/2006/relationships/hyperlink" Target="https://www.linkedin.com/search/results/people/?keywords=Kyle+Vogt+Individual+Angel" TargetMode="External"/><Relationship Id="rId181" Type="http://schemas.openxmlformats.org/officeDocument/2006/relationships/hyperlink" Target="https://shizune.co/investors/artificial-intelligence-angel-investors-united-states" TargetMode="External"/><Relationship Id="rId180" Type="http://schemas.openxmlformats.org/officeDocument/2006/relationships/hyperlink" Target="https://shizune.co/investors/artificial-intelligence-angel-investors-united-states" TargetMode="External"/><Relationship Id="rId176" Type="http://schemas.openxmlformats.org/officeDocument/2006/relationships/hyperlink" Target="https://www.linkedin.com/search/results/people/?keywords=Dusan+Stojanovic+%2F+Partner+Investors+team+b2venture" TargetMode="External"/><Relationship Id="rId175" Type="http://schemas.openxmlformats.org/officeDocument/2006/relationships/hyperlink" Target="https://pipeseed.com/investor/b2venture-330442" TargetMode="External"/><Relationship Id="rId174" Type="http://schemas.openxmlformats.org/officeDocument/2006/relationships/hyperlink" Target="https://shizune.co/investors/machine-learning-angel-investors-spain" TargetMode="External"/><Relationship Id="rId173" Type="http://schemas.openxmlformats.org/officeDocument/2006/relationships/hyperlink" Target="https://www.linkedin.com/search/results/people/?keywords=Axel+Serena+Individual+Angel" TargetMode="External"/><Relationship Id="rId179" Type="http://schemas.openxmlformats.org/officeDocument/2006/relationships/hyperlink" Target="https://www.linkedin.com/search/results/people/?keywords=Taro+Fukuyama+Individual+Angel" TargetMode="External"/><Relationship Id="rId178" Type="http://schemas.openxmlformats.org/officeDocument/2006/relationships/hyperlink" Target="https://shizune.co/investors/artificial-intelligence-angel-investors-united-states" TargetMode="External"/><Relationship Id="rId177" Type="http://schemas.openxmlformats.org/officeDocument/2006/relationships/hyperlink" Target="https://pipeseed.com/investor/b2venture-330442" TargetMode="External"/><Relationship Id="rId198" Type="http://schemas.openxmlformats.org/officeDocument/2006/relationships/hyperlink" Target="https://www.linkedin.com/search/results/people/?keywords=Alex+Macdonald+angel+investor+robotics+AI+deeptech" TargetMode="External"/><Relationship Id="rId197" Type="http://schemas.openxmlformats.org/officeDocument/2006/relationships/hyperlink" Target="https://shizune.co/investors/angel-investors-united-kingdom" TargetMode="External"/><Relationship Id="rId196" Type="http://schemas.openxmlformats.org/officeDocument/2006/relationships/hyperlink" Target="https://www.linkedin.com/search/results/people/?keywords=Alan+Morgan+angel+investor+robotics+AI+deeptech" TargetMode="External"/><Relationship Id="rId195" Type="http://schemas.openxmlformats.org/officeDocument/2006/relationships/hyperlink" Target="https://superangel.io/" TargetMode="External"/><Relationship Id="rId199" Type="http://schemas.openxmlformats.org/officeDocument/2006/relationships/hyperlink" Target="https://shizune.co/investors/angel-investors-united-kingdom" TargetMode="External"/><Relationship Id="rId150" Type="http://schemas.openxmlformats.org/officeDocument/2006/relationships/hyperlink" Target="https://pipeseed.com/investor/charlie-songhurst-801401" TargetMode="External"/><Relationship Id="rId392" Type="http://schemas.openxmlformats.org/officeDocument/2006/relationships/hyperlink" Target="https://www.linkedin.com/search/results/people/?keywords=Will+Brooks+angel+investor+robotics+AI+deeptech" TargetMode="External"/><Relationship Id="rId391" Type="http://schemas.openxmlformats.org/officeDocument/2006/relationships/hyperlink" Target="https://shizune.co/investors/angel-investors-united-kingdom" TargetMode="External"/><Relationship Id="rId390" Type="http://schemas.openxmlformats.org/officeDocument/2006/relationships/hyperlink" Target="https://www.linkedin.com/search/results/people/?keywords=Uday+Kumar+Bangalore+Shivaraman+angel+investor+robotics+AI+deeptech" TargetMode="External"/><Relationship Id="rId1" Type="http://schemas.openxmlformats.org/officeDocument/2006/relationships/hyperlink" Target="https://northerngritstone.com/" TargetMode="External"/><Relationship Id="rId2" Type="http://schemas.openxmlformats.org/officeDocument/2006/relationships/hyperlink" Target="https://www.linkedin.com/in/ACoAACJgSUgBGVveXlh3okYAMAzrsVkgQYt3shs" TargetMode="External"/><Relationship Id="rId3" Type="http://schemas.openxmlformats.org/officeDocument/2006/relationships/hyperlink" Target="https://www.linkedin.com/in/yannick-wilden-7645872/" TargetMode="External"/><Relationship Id="rId149" Type="http://schemas.openxmlformats.org/officeDocument/2006/relationships/hyperlink" Target="https://www.linkedin.com/search/results/people/?keywords=Charlie+Songhurst+Songhurst+Group+%2F+Individual+Angel" TargetMode="External"/><Relationship Id="rId4" Type="http://schemas.openxmlformats.org/officeDocument/2006/relationships/hyperlink" Target="https://actuatedminds.com/" TargetMode="External"/><Relationship Id="rId148" Type="http://schemas.openxmlformats.org/officeDocument/2006/relationships/hyperlink" Target="https://pipeseed.com/investor/charlie-songhurst-801401" TargetMode="External"/><Relationship Id="rId9" Type="http://schemas.openxmlformats.org/officeDocument/2006/relationships/hyperlink" Target="https://www.sfccapital.com/" TargetMode="External"/><Relationship Id="rId143" Type="http://schemas.openxmlformats.org/officeDocument/2006/relationships/hyperlink" Target="https://www.linkedin.com/search/results/people/?keywords=Stephen+Whitworth+Individual+Angel" TargetMode="External"/><Relationship Id="rId385" Type="http://schemas.openxmlformats.org/officeDocument/2006/relationships/hyperlink" Target="https://shizune.co/investors/angel-investors-united-kingdom" TargetMode="External"/><Relationship Id="rId142" Type="http://schemas.openxmlformats.org/officeDocument/2006/relationships/hyperlink" Target="https://shizune.co/investors/artificial-intelligence-angel-investors-united-kingdom" TargetMode="External"/><Relationship Id="rId384" Type="http://schemas.openxmlformats.org/officeDocument/2006/relationships/hyperlink" Target="https://www.linkedin.com/search/results/people/?keywords=Tom+Blomfield+angel+investor+robotics+AI+deeptech" TargetMode="External"/><Relationship Id="rId141" Type="http://schemas.openxmlformats.org/officeDocument/2006/relationships/hyperlink" Target="https://shizune.co/investors/artificial-intelligence-angel-investors-united-kingdom" TargetMode="External"/><Relationship Id="rId383" Type="http://schemas.openxmlformats.org/officeDocument/2006/relationships/hyperlink" Target="https://shizune.co/investors/angel-investors-united-kingdom" TargetMode="External"/><Relationship Id="rId140" Type="http://schemas.openxmlformats.org/officeDocument/2006/relationships/hyperlink" Target="https://www.linkedin.com/search/results/people/?keywords=Reece+Chowdhry+RLC+Ventures+%2F+Angel" TargetMode="External"/><Relationship Id="rId382" Type="http://schemas.openxmlformats.org/officeDocument/2006/relationships/hyperlink" Target="https://www.linkedin.com/search/results/people/?keywords=Theo+Osborne+angel+investor+robotics+AI+deeptech" TargetMode="External"/><Relationship Id="rId5" Type="http://schemas.openxmlformats.org/officeDocument/2006/relationships/hyperlink" Target="https://www.linkedin.com/in/nclando/" TargetMode="External"/><Relationship Id="rId147" Type="http://schemas.openxmlformats.org/officeDocument/2006/relationships/hyperlink" Target="https://shizune.co/investors/artificial-intelligence-angel-investors-united-kingdom" TargetMode="External"/><Relationship Id="rId389" Type="http://schemas.openxmlformats.org/officeDocument/2006/relationships/hyperlink" Target="https://shizune.co/investors/angel-investors-united-kingdom" TargetMode="External"/><Relationship Id="rId6" Type="http://schemas.openxmlformats.org/officeDocument/2006/relationships/hyperlink" Target="https://www.linkedin.com/in/nclando/" TargetMode="External"/><Relationship Id="rId146" Type="http://schemas.openxmlformats.org/officeDocument/2006/relationships/hyperlink" Target="https://www.linkedin.com/search/results/people/?keywords=Graham+Clempson+Individual+Angel" TargetMode="External"/><Relationship Id="rId388" Type="http://schemas.openxmlformats.org/officeDocument/2006/relationships/hyperlink" Target="https://www.linkedin.com/search/results/people/?keywords=Tom+Singh+angel+investor+robotics+AI+deeptech" TargetMode="External"/><Relationship Id="rId7" Type="http://schemas.openxmlformats.org/officeDocument/2006/relationships/hyperlink" Target="https://www.linkedin.com/in/alexanderzhou/" TargetMode="External"/><Relationship Id="rId145" Type="http://schemas.openxmlformats.org/officeDocument/2006/relationships/hyperlink" Target="https://shizune.co/investors/artificial-intelligence-angel-investors-united-kingdom" TargetMode="External"/><Relationship Id="rId387" Type="http://schemas.openxmlformats.org/officeDocument/2006/relationships/hyperlink" Target="https://shizune.co/investors/angel-investors-united-kingdom" TargetMode="External"/><Relationship Id="rId8" Type="http://schemas.openxmlformats.org/officeDocument/2006/relationships/hyperlink" Target="https://www.linkedin.com/in/phil-o-donovan/" TargetMode="External"/><Relationship Id="rId144" Type="http://schemas.openxmlformats.org/officeDocument/2006/relationships/hyperlink" Target="https://shizune.co/investors/artificial-intelligence-angel-investors-united-kingdom" TargetMode="External"/><Relationship Id="rId386" Type="http://schemas.openxmlformats.org/officeDocument/2006/relationships/hyperlink" Target="https://www.linkedin.com/search/results/people/?keywords=Tom+Hulme+angel+investor+robotics+AI+deeptech" TargetMode="External"/><Relationship Id="rId381" Type="http://schemas.openxmlformats.org/officeDocument/2006/relationships/hyperlink" Target="https://shizune.co/investors/hardware-angel-investors-united-kingdom" TargetMode="External"/><Relationship Id="rId380" Type="http://schemas.openxmlformats.org/officeDocument/2006/relationships/hyperlink" Target="https://www.linkedin.com/search/results/people/?keywords=Tanya+Suarez+angel+investor+robotics+AI+deeptech" TargetMode="External"/><Relationship Id="rId139" Type="http://schemas.openxmlformats.org/officeDocument/2006/relationships/hyperlink" Target="https://shizune.co/investors/artificial-intelligence-angel-investors-united-kingdom" TargetMode="External"/><Relationship Id="rId138" Type="http://schemas.openxmlformats.org/officeDocument/2006/relationships/hyperlink" Target="https://shizune.co/investors/artificial-intelligence-angel-investors-united-kingdom" TargetMode="External"/><Relationship Id="rId137" Type="http://schemas.openxmlformats.org/officeDocument/2006/relationships/hyperlink" Target="https://www.linkedin.com/search/results/people/?keywords=Francesco+Perticarari+Silicon+Roundabout+Ventures+%2F+Angel" TargetMode="External"/><Relationship Id="rId379" Type="http://schemas.openxmlformats.org/officeDocument/2006/relationships/hyperlink" Target="https://shizune.co/investors/angel-investors-united-kingdom" TargetMode="External"/><Relationship Id="rId132" Type="http://schemas.openxmlformats.org/officeDocument/2006/relationships/hyperlink" Target="https://www.linkedin.com/search/results/people/?keywords=NVentures%20Investment%20Team%20NVentures%20LinkedIn" TargetMode="External"/><Relationship Id="rId374" Type="http://schemas.openxmlformats.org/officeDocument/2006/relationships/hyperlink" Target="https://www.linkedin.com/search/results/people/?keywords=Stefan+Gl%C3%A4nzer+angel+investor+robotics+AI+deeptech" TargetMode="External"/><Relationship Id="rId131" Type="http://schemas.openxmlformats.org/officeDocument/2006/relationships/hyperlink" Target="https://www.linkedin.com/search/results/people/?keywords=Mohamed%20Siddeek%20NVentures%20LinkedIn" TargetMode="External"/><Relationship Id="rId373" Type="http://schemas.openxmlformats.org/officeDocument/2006/relationships/hyperlink" Target="https://shizune.co/investors/angel-investors-united-kingdom" TargetMode="External"/><Relationship Id="rId130" Type="http://schemas.openxmlformats.org/officeDocument/2006/relationships/hyperlink" Target="https://www.linkedin.com/search/results/people/?keywords=Mohamed%20%27Moe%27%20Aljaber%20NVentures%20LinkedIn" TargetMode="External"/><Relationship Id="rId372" Type="http://schemas.openxmlformats.org/officeDocument/2006/relationships/hyperlink" Target="https://www.linkedin.com/search/results/people/?keywords=Siraj+Khaliq+angel+investor+robotics+AI+deeptech" TargetMode="External"/><Relationship Id="rId371" Type="http://schemas.openxmlformats.org/officeDocument/2006/relationships/hyperlink" Target="https://shizune.co/investors/angel-investors-united-kingdom" TargetMode="External"/><Relationship Id="rId136" Type="http://schemas.openxmlformats.org/officeDocument/2006/relationships/hyperlink" Target="https://shizune.co/investors/artificial-intelligence-angel-investors-united-kingdom" TargetMode="External"/><Relationship Id="rId378" Type="http://schemas.openxmlformats.org/officeDocument/2006/relationships/hyperlink" Target="https://www.linkedin.com/search/results/people/?keywords=Taavet+Hinrikus+angel+investor+robotics+AI+deeptech" TargetMode="External"/><Relationship Id="rId135" Type="http://schemas.openxmlformats.org/officeDocument/2006/relationships/hyperlink" Target="https://shizune.co/investors/artificial-intelligence-angel-investors-united-kingdom" TargetMode="External"/><Relationship Id="rId377" Type="http://schemas.openxmlformats.org/officeDocument/2006/relationships/hyperlink" Target="https://shizune.co/investors/angel-investors-united-kingdom" TargetMode="External"/><Relationship Id="rId134" Type="http://schemas.openxmlformats.org/officeDocument/2006/relationships/hyperlink" Target="https://www.linkedin.com/search/results/people/?keywords=Charles+Morgan+Individual+Angel" TargetMode="External"/><Relationship Id="rId376" Type="http://schemas.openxmlformats.org/officeDocument/2006/relationships/hyperlink" Target="https://www.linkedin.com/search/results/people/?keywords=Steven+Bartlett+angel+investor+robotics+AI+deeptech" TargetMode="External"/><Relationship Id="rId133" Type="http://schemas.openxmlformats.org/officeDocument/2006/relationships/hyperlink" Target="https://shizune.co/investors/artificial-intelligence-angel-investors-united-kingdom" TargetMode="External"/><Relationship Id="rId375" Type="http://schemas.openxmlformats.org/officeDocument/2006/relationships/hyperlink" Target="https://shizune.co/investors/angel-investors-united-kingdom" TargetMode="External"/><Relationship Id="rId172" Type="http://schemas.openxmlformats.org/officeDocument/2006/relationships/hyperlink" Target="https://shizune.co/investors/machine-learning-angel-investors-spain" TargetMode="External"/><Relationship Id="rId171" Type="http://schemas.openxmlformats.org/officeDocument/2006/relationships/hyperlink" Target="https://shizune.co/investors/machine-learning-angel-investors-spain" TargetMode="External"/><Relationship Id="rId170" Type="http://schemas.openxmlformats.org/officeDocument/2006/relationships/hyperlink" Target="https://www.linkedin.com/search/results/people/?keywords=Andreas+Mihalovits+Individual+Angel" TargetMode="External"/><Relationship Id="rId165" Type="http://schemas.openxmlformats.org/officeDocument/2006/relationships/hyperlink" Target="https://shizune.co/investors/machine-learning-angel-investors-spain" TargetMode="External"/><Relationship Id="rId164" Type="http://schemas.openxmlformats.org/officeDocument/2006/relationships/hyperlink" Target="https://www.linkedin.com/search/results/people/?keywords=Juanjo+Mostazo+Individual+Angel" TargetMode="External"/><Relationship Id="rId163" Type="http://schemas.openxmlformats.org/officeDocument/2006/relationships/hyperlink" Target="https://shizune.co/investors/machine-learning-angel-investors-spain" TargetMode="External"/><Relationship Id="rId162" Type="http://schemas.openxmlformats.org/officeDocument/2006/relationships/hyperlink" Target="https://shizune.co/investors/machine-learning-angel-investors-spain" TargetMode="External"/><Relationship Id="rId169" Type="http://schemas.openxmlformats.org/officeDocument/2006/relationships/hyperlink" Target="https://shizune.co/investors/machine-learning-angel-investors-spain" TargetMode="External"/><Relationship Id="rId168" Type="http://schemas.openxmlformats.org/officeDocument/2006/relationships/hyperlink" Target="https://shizune.co/investors/machine-learning-angel-investors-spain" TargetMode="External"/><Relationship Id="rId167" Type="http://schemas.openxmlformats.org/officeDocument/2006/relationships/hyperlink" Target="https://www.linkedin.com/search/results/people/?keywords=Luis+Martin+Cabiedes+Individual+Angel+%2F+Cabiedes+%26+Partners" TargetMode="External"/><Relationship Id="rId166" Type="http://schemas.openxmlformats.org/officeDocument/2006/relationships/hyperlink" Target="https://shizune.co/investors/machine-learning-angel-investors-spain" TargetMode="External"/><Relationship Id="rId161" Type="http://schemas.openxmlformats.org/officeDocument/2006/relationships/hyperlink" Target="https://www.linkedin.com/search/results/people/?keywords=Jes%C3%BAs+Monle%C3%B3n+Individual+Angel" TargetMode="External"/><Relationship Id="rId160" Type="http://schemas.openxmlformats.org/officeDocument/2006/relationships/hyperlink" Target="https://shizune.co/investors/machine-learning-angel-investors-spain" TargetMode="External"/><Relationship Id="rId159" Type="http://schemas.openxmlformats.org/officeDocument/2006/relationships/hyperlink" Target="https://shizune.co/investors/machine-learning-angel-investors-spain" TargetMode="External"/><Relationship Id="rId154" Type="http://schemas.openxmlformats.org/officeDocument/2006/relationships/hyperlink" Target="https://starbotsfund.com/" TargetMode="External"/><Relationship Id="rId396" Type="http://schemas.openxmlformats.org/officeDocument/2006/relationships/hyperlink" Target="https://www.linkedin.com/search/results/people/?keywords=Will+Neale+angel+investor+robotics+AI+deeptech" TargetMode="External"/><Relationship Id="rId153" Type="http://schemas.openxmlformats.org/officeDocument/2006/relationships/hyperlink" Target="https://www.cambridgeangels.com/" TargetMode="External"/><Relationship Id="rId395" Type="http://schemas.openxmlformats.org/officeDocument/2006/relationships/hyperlink" Target="https://shizune.co/investors/angel-investors-united-kingdom" TargetMode="External"/><Relationship Id="rId152" Type="http://schemas.openxmlformats.org/officeDocument/2006/relationships/hyperlink" Target="https://www.linkedin.com/search/results/people/?keywords=Investment+Team+Cambridge+Angels" TargetMode="External"/><Relationship Id="rId394" Type="http://schemas.openxmlformats.org/officeDocument/2006/relationships/hyperlink" Target="https://www.linkedin.com/search/results/people/?keywords=Will+Martin+angel+investor+robotics+AI+deeptech" TargetMode="External"/><Relationship Id="rId151" Type="http://schemas.openxmlformats.org/officeDocument/2006/relationships/hyperlink" Target="https://www.cambridgeangels.com/" TargetMode="External"/><Relationship Id="rId393" Type="http://schemas.openxmlformats.org/officeDocument/2006/relationships/hyperlink" Target="https://shizune.co/investors/angel-investors-united-kingdom" TargetMode="External"/><Relationship Id="rId158" Type="http://schemas.openxmlformats.org/officeDocument/2006/relationships/hyperlink" Target="https://www.linkedin.com/search/results/people/?keywords=Fernando+Garc%C3%ADa+Abasolo+Individual+Angel" TargetMode="External"/><Relationship Id="rId157" Type="http://schemas.openxmlformats.org/officeDocument/2006/relationships/hyperlink" Target="https://shizune.co/investors/machine-learning-angel-investors-spain" TargetMode="External"/><Relationship Id="rId399" Type="http://schemas.openxmlformats.org/officeDocument/2006/relationships/hyperlink" Target="https://shizune.co/investors/angel-investors-united-kingdom" TargetMode="External"/><Relationship Id="rId156" Type="http://schemas.openxmlformats.org/officeDocument/2006/relationships/hyperlink" Target="https://starbotsfund.com/" TargetMode="External"/><Relationship Id="rId398" Type="http://schemas.openxmlformats.org/officeDocument/2006/relationships/hyperlink" Target="https://www.linkedin.com/search/results/people/?keywords=William+Tunstall-Pedoe+angel+investor+robotics+AI+deeptech" TargetMode="External"/><Relationship Id="rId155" Type="http://schemas.openxmlformats.org/officeDocument/2006/relationships/hyperlink" Target="https://www.linkedin.com/search/results/people/?keywords=Dominic+Keen+%2F+Alex+Pejacsevich+Britbots+%2F+Star+Bots+Fund" TargetMode="External"/><Relationship Id="rId397" Type="http://schemas.openxmlformats.org/officeDocument/2006/relationships/hyperlink" Target="https://shizune.co/investors/angel-investors-united-kingdom" TargetMode="External"/><Relationship Id="rId808" Type="http://schemas.openxmlformats.org/officeDocument/2006/relationships/hyperlink" Target="https://www.linkedin.com/search/results/people/?keywords=Janne+Saarikko+angel+investor+robotics+AI+deeptech" TargetMode="External"/><Relationship Id="rId807" Type="http://schemas.openxmlformats.org/officeDocument/2006/relationships/hyperlink" Target="https://shizune.co/investors/artificial-intelligence-angel-investors-united-states" TargetMode="External"/><Relationship Id="rId806" Type="http://schemas.openxmlformats.org/officeDocument/2006/relationships/hyperlink" Target="https://www.linkedin.com/search/results/people/?keywords=Jacob+Thornton+angel+investor+robotics+AI+deeptech" TargetMode="External"/><Relationship Id="rId805" Type="http://schemas.openxmlformats.org/officeDocument/2006/relationships/hyperlink" Target="https://shizune.co/investors/artificial-intelligence-angel-investors-united-states" TargetMode="External"/><Relationship Id="rId809" Type="http://schemas.openxmlformats.org/officeDocument/2006/relationships/hyperlink" Target="https://shizune.co/investors/artificial-intelligence-angel-investors-united-states" TargetMode="External"/><Relationship Id="rId800" Type="http://schemas.openxmlformats.org/officeDocument/2006/relationships/hyperlink" Target="https://www.linkedin.com/search/results/people/?keywords=Hunter+Walk+angel+investor+robotics+AI+deeptech" TargetMode="External"/><Relationship Id="rId804" Type="http://schemas.openxmlformats.org/officeDocument/2006/relationships/hyperlink" Target="https://www.linkedin.com/search/results/people/?keywords=Jackson+Moses+angel+investor+robotics+AI+deeptech" TargetMode="External"/><Relationship Id="rId803" Type="http://schemas.openxmlformats.org/officeDocument/2006/relationships/hyperlink" Target="https://shizune.co/investors/artificial-intelligence-angel-investors-united-states" TargetMode="External"/><Relationship Id="rId802" Type="http://schemas.openxmlformats.org/officeDocument/2006/relationships/hyperlink" Target="https://www.linkedin.com/search/results/people/?keywords=Jack+Altman+angel+investor+robotics+AI+deeptech" TargetMode="External"/><Relationship Id="rId801" Type="http://schemas.openxmlformats.org/officeDocument/2006/relationships/hyperlink" Target="https://shizune.co/investors/artificial-intelligence-angel-investors-united-states" TargetMode="External"/><Relationship Id="rId40" Type="http://schemas.openxmlformats.org/officeDocument/2006/relationships/hyperlink" Target="https://www.linkedin.com/search/results/people/?keywords=Will%20Gibbs%20Octopus%20Ventures%20LinkedIn" TargetMode="External"/><Relationship Id="rId42" Type="http://schemas.openxmlformats.org/officeDocument/2006/relationships/hyperlink" Target="https://www.linkedin.com/search/results/people/?keywords=Thomas%20Oehl%20Vsquared%20Ventures%20LinkedIn" TargetMode="External"/><Relationship Id="rId41" Type="http://schemas.openxmlformats.org/officeDocument/2006/relationships/hyperlink" Target="https://www.linkedin.com/search/results/people/?keywords=Simon%20King%20Octopus%20Ventures%20LinkedIn" TargetMode="External"/><Relationship Id="rId44" Type="http://schemas.openxmlformats.org/officeDocument/2006/relationships/hyperlink" Target="https://www.linkedin.com/search/results/people/?keywords=Dr.%20Marco%20Winzer%20High-Tech%20Gr%C3%BCnderfonds%20LinkedIn" TargetMode="External"/><Relationship Id="rId43" Type="http://schemas.openxmlformats.org/officeDocument/2006/relationships/hyperlink" Target="https://www.linkedin.com/search/results/people/?keywords=Niklas%20Hebborn%20UVC%20Partners%20LinkedIn" TargetMode="External"/><Relationship Id="rId46" Type="http://schemas.openxmlformats.org/officeDocument/2006/relationships/hyperlink" Target="https://www.linkedin.com/search/results/people/?keywords=Katrin%20Hoffmann%20TechFounders%20LinkedIn" TargetMode="External"/><Relationship Id="rId45" Type="http://schemas.openxmlformats.org/officeDocument/2006/relationships/hyperlink" Target="https://www.linkedin.com/search/results/people/?keywords=Stephanie%20Renz%20UnternehmerTUM%20LinkedIn" TargetMode="External"/><Relationship Id="rId509" Type="http://schemas.openxmlformats.org/officeDocument/2006/relationships/hyperlink" Target="https://shizune.co/investors/angel-investors-germany" TargetMode="External"/><Relationship Id="rId508" Type="http://schemas.openxmlformats.org/officeDocument/2006/relationships/hyperlink" Target="https://www.linkedin.com/search/results/people/?keywords=Stephan+Jacquemot+angel+investor+robotics+AI+deeptech" TargetMode="External"/><Relationship Id="rId503" Type="http://schemas.openxmlformats.org/officeDocument/2006/relationships/hyperlink" Target="https://shizune.co/investors/angel-investors-germany" TargetMode="External"/><Relationship Id="rId745" Type="http://schemas.openxmlformats.org/officeDocument/2006/relationships/hyperlink" Target="https://shizune.co/investors/artificial-intelligence-angel-investors-united-states" TargetMode="External"/><Relationship Id="rId502" Type="http://schemas.openxmlformats.org/officeDocument/2006/relationships/hyperlink" Target="https://www.linkedin.com/search/results/people/?keywords=Rolf+Schr%C3%B6mgens+angel+investor+robotics+AI+deeptech" TargetMode="External"/><Relationship Id="rId744" Type="http://schemas.openxmlformats.org/officeDocument/2006/relationships/hyperlink" Target="https://www.linkedin.com/search/results/people/?keywords=Chris+Wanstrath+angel+investor+robotics+AI+deeptech" TargetMode="External"/><Relationship Id="rId501" Type="http://schemas.openxmlformats.org/officeDocument/2006/relationships/hyperlink" Target="https://shizune.co/investors/angel-investors-germany" TargetMode="External"/><Relationship Id="rId743" Type="http://schemas.openxmlformats.org/officeDocument/2006/relationships/hyperlink" Target="https://shizune.co/investors/artificial-intelligence-angel-investors-united-states" TargetMode="External"/><Relationship Id="rId500" Type="http://schemas.openxmlformats.org/officeDocument/2006/relationships/hyperlink" Target="https://www.linkedin.com/search/results/people/?keywords=Robin+Haak+angel+investor+robotics+AI+deeptech" TargetMode="External"/><Relationship Id="rId742" Type="http://schemas.openxmlformats.org/officeDocument/2006/relationships/hyperlink" Target="https://www.linkedin.com/search/results/people/?keywords=Chris+Schagen+angel+investor+robotics+AI+deeptech" TargetMode="External"/><Relationship Id="rId507" Type="http://schemas.openxmlformats.org/officeDocument/2006/relationships/hyperlink" Target="https://shizune.co/investors/hardware-angel-investors-germany" TargetMode="External"/><Relationship Id="rId749" Type="http://schemas.openxmlformats.org/officeDocument/2006/relationships/hyperlink" Target="https://shizune.co/investors/artificial-intelligence-angel-investors-united-states" TargetMode="External"/><Relationship Id="rId506" Type="http://schemas.openxmlformats.org/officeDocument/2006/relationships/hyperlink" Target="https://www.linkedin.com/search/results/people/?keywords=Sami+Atiya+angel+investor+robotics+AI+deeptech" TargetMode="External"/><Relationship Id="rId748" Type="http://schemas.openxmlformats.org/officeDocument/2006/relationships/hyperlink" Target="https://www.linkedin.com/search/results/people/?keywords=Cl%C3%A9ment+Delangue+angel+investor+robotics+AI+deeptech" TargetMode="External"/><Relationship Id="rId505" Type="http://schemas.openxmlformats.org/officeDocument/2006/relationships/hyperlink" Target="https://shizune.co/investors/angel-investors-germany" TargetMode="External"/><Relationship Id="rId747" Type="http://schemas.openxmlformats.org/officeDocument/2006/relationships/hyperlink" Target="https://shizune.co/investors/artificial-intelligence-angel-investors-united-states" TargetMode="External"/><Relationship Id="rId504" Type="http://schemas.openxmlformats.org/officeDocument/2006/relationships/hyperlink" Target="https://www.linkedin.com/search/results/people/?keywords=Roman+Kirsch+angel+investor+robotics+AI+deeptech" TargetMode="External"/><Relationship Id="rId746" Type="http://schemas.openxmlformats.org/officeDocument/2006/relationships/hyperlink" Target="https://www.linkedin.com/search/results/people/?keywords=Claire+Hughes+Johnson+angel+investor+robotics+AI+deeptech" TargetMode="External"/><Relationship Id="rId48" Type="http://schemas.openxmlformats.org/officeDocument/2006/relationships/hyperlink" Target="https://www.linkedin.com/search/results/people/?keywords=Jan%20Westerhues%20Bosch%20Ventures%20LinkedIn" TargetMode="External"/><Relationship Id="rId47" Type="http://schemas.openxmlformats.org/officeDocument/2006/relationships/hyperlink" Target="https://www.linkedin.com/search/results/people/?keywords=Saeed%20Amidi%20Startup%20Autobahn%20powered%20by%20Plug%20and%20Play%20LinkedIn" TargetMode="External"/><Relationship Id="rId49" Type="http://schemas.openxmlformats.org/officeDocument/2006/relationships/hyperlink" Target="https://www.linkedin.com/search/results/people/?keywords=Hongquan%20Jiang%20Bosch%20Ventures%20LinkedIn" TargetMode="External"/><Relationship Id="rId741" Type="http://schemas.openxmlformats.org/officeDocument/2006/relationships/hyperlink" Target="https://shizune.co/investors/artificial-intelligence-angel-investors-united-states" TargetMode="External"/><Relationship Id="rId740" Type="http://schemas.openxmlformats.org/officeDocument/2006/relationships/hyperlink" Target="https://www.linkedin.com/search/results/people/?keywords=Chris+Sacca+angel+investor+robotics+AI+deeptech" TargetMode="External"/><Relationship Id="rId31" Type="http://schemas.openxmlformats.org/officeDocument/2006/relationships/hyperlink" Target="https://www.linkedin.com/search/results/people/?keywords=Henry%20Lane%20Fox%20Founders%20Factory%20LinkedIn" TargetMode="External"/><Relationship Id="rId30" Type="http://schemas.openxmlformats.org/officeDocument/2006/relationships/hyperlink" Target="https://www.linkedin.com/search/results/people/?keywords=Joe%20White%20Entrepreneur%20First%20LinkedIn" TargetMode="External"/><Relationship Id="rId33" Type="http://schemas.openxmlformats.org/officeDocument/2006/relationships/hyperlink" Target="https://www.linkedin.com/search/results/people/?keywords=Jeremy%20Silver%20Digital%20Catapult%20LinkedIn" TargetMode="External"/><Relationship Id="rId32" Type="http://schemas.openxmlformats.org/officeDocument/2006/relationships/hyperlink" Target="https://www.linkedin.com/search/results/people/?keywords=Olivia%20Sibony%20Founders%20Factory%20LinkedIn" TargetMode="External"/><Relationship Id="rId35" Type="http://schemas.openxmlformats.org/officeDocument/2006/relationships/hyperlink" Target="https://www.linkedin.com/search/results/people/?keywords=Felicity%20Burch%20Conception%20X%20LinkedIn" TargetMode="External"/><Relationship Id="rId34" Type="http://schemas.openxmlformats.org/officeDocument/2006/relationships/hyperlink" Target="https://www.linkedin.com/search/results/people/?keywords=Jessica%20Rushworth%20Digital%20Catapult%20LinkedIn" TargetMode="External"/><Relationship Id="rId739" Type="http://schemas.openxmlformats.org/officeDocument/2006/relationships/hyperlink" Target="https://shizune.co/investors/artificial-intelligence-angel-investors-united-states" TargetMode="External"/><Relationship Id="rId734" Type="http://schemas.openxmlformats.org/officeDocument/2006/relationships/hyperlink" Target="https://www.linkedin.com/search/results/people/?keywords=Bradley+Horowitz+angel+investor+robotics+AI+deeptech" TargetMode="External"/><Relationship Id="rId976" Type="http://schemas.openxmlformats.org/officeDocument/2006/relationships/hyperlink" Target="https://www.linkedin.com/search/results/people/?keywords=Jan+Barta+angel+investor+robotics+AI+deeptech" TargetMode="External"/><Relationship Id="rId733" Type="http://schemas.openxmlformats.org/officeDocument/2006/relationships/hyperlink" Target="https://shizune.co/investors/artificial-intelligence-angel-investors-united-states" TargetMode="External"/><Relationship Id="rId975" Type="http://schemas.openxmlformats.org/officeDocument/2006/relationships/hyperlink" Target="https://shizune.co/investors/artificial-intelligence-angel-investors" TargetMode="External"/><Relationship Id="rId732" Type="http://schemas.openxmlformats.org/officeDocument/2006/relationships/hyperlink" Target="https://www.linkedin.com/search/results/people/?keywords=Bobby+Goodlatte+angel+investor+robotics+AI+deeptech" TargetMode="External"/><Relationship Id="rId974" Type="http://schemas.openxmlformats.org/officeDocument/2006/relationships/hyperlink" Target="https://www.linkedin.com/search/results/people/?keywords=Bogdan+Iordache+angel+investor+robotics+AI+deeptech" TargetMode="External"/><Relationship Id="rId731" Type="http://schemas.openxmlformats.org/officeDocument/2006/relationships/hyperlink" Target="https://shizune.co/investors/artificial-intelligence-angel-investors-united-states" TargetMode="External"/><Relationship Id="rId973" Type="http://schemas.openxmlformats.org/officeDocument/2006/relationships/hyperlink" Target="https://shizune.co/investors/artificial-intelligence-angel-investors" TargetMode="External"/><Relationship Id="rId738" Type="http://schemas.openxmlformats.org/officeDocument/2006/relationships/hyperlink" Target="https://www.linkedin.com/search/results/people/?keywords=Charles+Gorintin+angel+investor+robotics+AI+deeptech" TargetMode="External"/><Relationship Id="rId737" Type="http://schemas.openxmlformats.org/officeDocument/2006/relationships/hyperlink" Target="https://shizune.co/investors/artificial-intelligence-angel-investors-united-states" TargetMode="External"/><Relationship Id="rId736" Type="http://schemas.openxmlformats.org/officeDocument/2006/relationships/hyperlink" Target="https://www.linkedin.com/search/results/people/?keywords=Brian+Chesky+angel+investor+robotics+AI+deeptech" TargetMode="External"/><Relationship Id="rId978" Type="http://schemas.openxmlformats.org/officeDocument/2006/relationships/drawing" Target="../drawings/drawing3.xml"/><Relationship Id="rId735" Type="http://schemas.openxmlformats.org/officeDocument/2006/relationships/hyperlink" Target="https://shizune.co/investors/artificial-intelligence-angel-investors-united-states" TargetMode="External"/><Relationship Id="rId977" Type="http://schemas.openxmlformats.org/officeDocument/2006/relationships/hyperlink" Target="https://shizune.co/investors/artificial-intelligence-angel-investors" TargetMode="External"/><Relationship Id="rId37" Type="http://schemas.openxmlformats.org/officeDocument/2006/relationships/hyperlink" Target="https://www.linkedin.com/search/results/people/?keywords=Anita%20Friend%20DASA%20-%20Defence%20and%20Security%20Accelerator%20LinkedIn" TargetMode="External"/><Relationship Id="rId36" Type="http://schemas.openxmlformats.org/officeDocument/2006/relationships/hyperlink" Target="https://www.linkedin.com/search/results/people/?keywords=Marga%20Hoek%20Conception%20X%20LinkedIn" TargetMode="External"/><Relationship Id="rId39" Type="http://schemas.openxmlformats.org/officeDocument/2006/relationships/hyperlink" Target="https://www.linkedin.com/search/results/people/?keywords=Zo%C3%AB%20Chambers%20Octopus%20Ventures%20LinkedIn" TargetMode="External"/><Relationship Id="rId38" Type="http://schemas.openxmlformats.org/officeDocument/2006/relationships/hyperlink" Target="https://www.linkedin.com/search/results/people/?keywords=Adam%20Moore%20DASA%20-%20Defence%20and%20Security%20Accelerator%20LinkedIn" TargetMode="External"/><Relationship Id="rId730" Type="http://schemas.openxmlformats.org/officeDocument/2006/relationships/hyperlink" Target="https://www.linkedin.com/search/results/people/?keywords=Bertrand+Diard+angel+investor+robotics+AI+deeptech" TargetMode="External"/><Relationship Id="rId972" Type="http://schemas.openxmlformats.org/officeDocument/2006/relationships/hyperlink" Target="https://www.linkedin.com/search/results/people/?keywords=Andrei+Pitis+angel+investor+robotics+AI+deeptech" TargetMode="External"/><Relationship Id="rId971" Type="http://schemas.openxmlformats.org/officeDocument/2006/relationships/hyperlink" Target="https://shizune.co/investors/artificial-intelligence-angel-investors" TargetMode="External"/><Relationship Id="rId970" Type="http://schemas.openxmlformats.org/officeDocument/2006/relationships/hyperlink" Target="https://www.linkedin.com/search/results/people/?keywords=Vijay+Shekhar+Sharma+angel+investor+robotics+AI+deeptech" TargetMode="External"/><Relationship Id="rId20" Type="http://schemas.openxmlformats.org/officeDocument/2006/relationships/hyperlink" Target="https://pipeseed.com/investor/felipe-navio-822077" TargetMode="External"/><Relationship Id="rId22" Type="http://schemas.openxmlformats.org/officeDocument/2006/relationships/hyperlink" Target="https://pipeseed.com/investor/felipe-navio-822077" TargetMode="External"/><Relationship Id="rId21" Type="http://schemas.openxmlformats.org/officeDocument/2006/relationships/hyperlink" Target="https://www.linkedin.com/search/results/people/?keywords=Felipe+Navio+Individual+Angel+%2F+jobandtalent" TargetMode="External"/><Relationship Id="rId24" Type="http://schemas.openxmlformats.org/officeDocument/2006/relationships/hyperlink" Target="https://www.linkedin.com/search/results/people/?keywords=Auren+Hoffman+Individual+Angel" TargetMode="External"/><Relationship Id="rId23" Type="http://schemas.openxmlformats.org/officeDocument/2006/relationships/hyperlink" Target="https://shizune.co/investors/artificial-intelligence-angel-investors-united-states" TargetMode="External"/><Relationship Id="rId525" Type="http://schemas.openxmlformats.org/officeDocument/2006/relationships/hyperlink" Target="https://shizune.co/investors/angel-investors-finland" TargetMode="External"/><Relationship Id="rId767" Type="http://schemas.openxmlformats.org/officeDocument/2006/relationships/hyperlink" Target="https://shizune.co/investors/artificial-intelligence-angel-investors-united-states" TargetMode="External"/><Relationship Id="rId524" Type="http://schemas.openxmlformats.org/officeDocument/2006/relationships/hyperlink" Target="https://www.linkedin.com/search/results/people/?keywords=Peter+Vesterbacka+angel+investor+robotics+AI+deeptech" TargetMode="External"/><Relationship Id="rId766" Type="http://schemas.openxmlformats.org/officeDocument/2006/relationships/hyperlink" Target="https://www.linkedin.com/search/results/people/?keywords=Dev+Ittycheria+angel+investor+robotics+AI+deeptech" TargetMode="External"/><Relationship Id="rId523" Type="http://schemas.openxmlformats.org/officeDocument/2006/relationships/hyperlink" Target="https://shizune.co/investors/angel-investors-finland" TargetMode="External"/><Relationship Id="rId765" Type="http://schemas.openxmlformats.org/officeDocument/2006/relationships/hyperlink" Target="https://shizune.co/investors/artificial-intelligence-angel-investors-united-states" TargetMode="External"/><Relationship Id="rId522" Type="http://schemas.openxmlformats.org/officeDocument/2006/relationships/hyperlink" Target="https://www.linkedin.com/search/results/people/?keywords=Miki+Kuusi+angel+investor+robotics+AI+deeptech" TargetMode="External"/><Relationship Id="rId764" Type="http://schemas.openxmlformats.org/officeDocument/2006/relationships/hyperlink" Target="https://www.linkedin.com/search/results/people/?keywords=Des+Traynor+angel+investor+robotics+AI+deeptech" TargetMode="External"/><Relationship Id="rId529" Type="http://schemas.openxmlformats.org/officeDocument/2006/relationships/hyperlink" Target="https://shizune.co/investors/angel-investors-finland" TargetMode="External"/><Relationship Id="rId528" Type="http://schemas.openxmlformats.org/officeDocument/2006/relationships/hyperlink" Target="https://www.linkedin.com/search/results/people/?keywords=Risto+Siilasmaa+angel+investor+robotics+AI+deeptech" TargetMode="External"/><Relationship Id="rId527" Type="http://schemas.openxmlformats.org/officeDocument/2006/relationships/hyperlink" Target="https://shizune.co/investors/angel-investors-finland" TargetMode="External"/><Relationship Id="rId769" Type="http://schemas.openxmlformats.org/officeDocument/2006/relationships/hyperlink" Target="https://shizune.co/investors/artificial-intelligence-angel-investors-united-states" TargetMode="External"/><Relationship Id="rId526" Type="http://schemas.openxmlformats.org/officeDocument/2006/relationships/hyperlink" Target="https://www.linkedin.com/search/results/people/?keywords=Riku+Asikainen+angel+investor+robotics+AI+deeptech" TargetMode="External"/><Relationship Id="rId768" Type="http://schemas.openxmlformats.org/officeDocument/2006/relationships/hyperlink" Target="https://www.linkedin.com/search/results/people/?keywords=Drew+Houston+angel+investor+robotics+AI+deeptech" TargetMode="External"/><Relationship Id="rId26" Type="http://schemas.openxmlformats.org/officeDocument/2006/relationships/hyperlink" Target="https://www.linkedin.com/search/results/people/?keywords=Anne%20Dobr%C3%A9e%20Parkwalk%20Advisors%20LinkedIn" TargetMode="External"/><Relationship Id="rId25" Type="http://schemas.openxmlformats.org/officeDocument/2006/relationships/hyperlink" Target="https://shizune.co/investors/artificial-intelligence-angel-investors-united-states" TargetMode="External"/><Relationship Id="rId28" Type="http://schemas.openxmlformats.org/officeDocument/2006/relationships/hyperlink" Target="https://www.linkedin.com/search/results/people/?keywords=Robert%20Tansley%20Cambridge%20Innovation%20Capital%20LinkedIn" TargetMode="External"/><Relationship Id="rId27" Type="http://schemas.openxmlformats.org/officeDocument/2006/relationships/hyperlink" Target="https://www.linkedin.com/search/results/people/?keywords=Martin%20Glen%20Parkwalk%20Advisors%20LinkedIn" TargetMode="External"/><Relationship Id="rId521" Type="http://schemas.openxmlformats.org/officeDocument/2006/relationships/hyperlink" Target="https://shizune.co/investors/angel-investors-finland" TargetMode="External"/><Relationship Id="rId763" Type="http://schemas.openxmlformats.org/officeDocument/2006/relationships/hyperlink" Target="https://shizune.co/investors/artificial-intelligence-angel-investors-united-states" TargetMode="External"/><Relationship Id="rId29" Type="http://schemas.openxmlformats.org/officeDocument/2006/relationships/hyperlink" Target="https://www.linkedin.com/search/results/people/?keywords=Paul%20Ashley%20Oxford%20Science%20Enterprises%20LinkedIn" TargetMode="External"/><Relationship Id="rId520" Type="http://schemas.openxmlformats.org/officeDocument/2006/relationships/hyperlink" Target="https://www.linkedin.com/search/results/people/?keywords=Mikael+Hed+angel+investor+robotics+AI+deeptech" TargetMode="External"/><Relationship Id="rId762" Type="http://schemas.openxmlformats.org/officeDocument/2006/relationships/hyperlink" Target="https://www.linkedin.com/search/results/people/?keywords=David+Ulevitch+angel+investor+robotics+AI+deeptech" TargetMode="External"/><Relationship Id="rId761" Type="http://schemas.openxmlformats.org/officeDocument/2006/relationships/hyperlink" Target="https://shizune.co/investors/artificial-intelligence-angel-investors-united-states" TargetMode="External"/><Relationship Id="rId760" Type="http://schemas.openxmlformats.org/officeDocument/2006/relationships/hyperlink" Target="https://www.linkedin.com/search/results/people/?keywords=David+Tisch+angel+investor+robotics+AI+deeptech" TargetMode="External"/><Relationship Id="rId11" Type="http://schemas.openxmlformats.org/officeDocument/2006/relationships/hyperlink" Target="https://www.sfccapital.com/" TargetMode="External"/><Relationship Id="rId10" Type="http://schemas.openxmlformats.org/officeDocument/2006/relationships/hyperlink" Target="https://www.linkedin.com/in/ed-prior-4336905b/?skipRedirect=true" TargetMode="External"/><Relationship Id="rId13" Type="http://schemas.openxmlformats.org/officeDocument/2006/relationships/hyperlink" Target="https://www.linkedin.com/search/results/people/?keywords=Investment+Team+7percent+Ventures" TargetMode="External"/><Relationship Id="rId12" Type="http://schemas.openxmlformats.org/officeDocument/2006/relationships/hyperlink" Target="https://deeptechvclist.com/pages/robotics/" TargetMode="External"/><Relationship Id="rId519" Type="http://schemas.openxmlformats.org/officeDocument/2006/relationships/hyperlink" Target="https://shizune.co/investors/angel-investors-finland" TargetMode="External"/><Relationship Id="rId514" Type="http://schemas.openxmlformats.org/officeDocument/2006/relationships/hyperlink" Target="https://www.linkedin.com/search/results/people/?keywords=Ari+Helgason+angel+investor+robotics+AI+deeptech" TargetMode="External"/><Relationship Id="rId756" Type="http://schemas.openxmlformats.org/officeDocument/2006/relationships/hyperlink" Target="https://www.linkedin.com/search/results/people/?keywords=David+Heinemeier+Hansson+angel+investor+robotics+AI+deeptech" TargetMode="External"/><Relationship Id="rId513" Type="http://schemas.openxmlformats.org/officeDocument/2006/relationships/hyperlink" Target="https://shizune.co/investors/angel-investors-germany" TargetMode="External"/><Relationship Id="rId755" Type="http://schemas.openxmlformats.org/officeDocument/2006/relationships/hyperlink" Target="https://shizune.co/investors/artificial-intelligence-angel-investors-united-states" TargetMode="External"/><Relationship Id="rId512" Type="http://schemas.openxmlformats.org/officeDocument/2006/relationships/hyperlink" Target="https://www.linkedin.com/search/results/people/?keywords=Verena+Pausder+angel+investor+robotics+AI+deeptech" TargetMode="External"/><Relationship Id="rId754" Type="http://schemas.openxmlformats.org/officeDocument/2006/relationships/hyperlink" Target="https://www.linkedin.com/search/results/people/?keywords=Dave+McClure+angel+investor+robotics+AI+deeptech" TargetMode="External"/><Relationship Id="rId511" Type="http://schemas.openxmlformats.org/officeDocument/2006/relationships/hyperlink" Target="https://shizune.co/investors/angel-investors-germany" TargetMode="External"/><Relationship Id="rId753" Type="http://schemas.openxmlformats.org/officeDocument/2006/relationships/hyperlink" Target="https://shizune.co/investors/artificial-intelligence-angel-investors-united-states" TargetMode="External"/><Relationship Id="rId518" Type="http://schemas.openxmlformats.org/officeDocument/2006/relationships/hyperlink" Target="https://www.linkedin.com/search/results/people/?keywords=Linda+Liukas+angel+investor+robotics+AI+deeptech" TargetMode="External"/><Relationship Id="rId517" Type="http://schemas.openxmlformats.org/officeDocument/2006/relationships/hyperlink" Target="https://shizune.co/investors/angel-investors-finland" TargetMode="External"/><Relationship Id="rId759" Type="http://schemas.openxmlformats.org/officeDocument/2006/relationships/hyperlink" Target="https://shizune.co/investors/artificial-intelligence-angel-investors-united-states" TargetMode="External"/><Relationship Id="rId516" Type="http://schemas.openxmlformats.org/officeDocument/2006/relationships/hyperlink" Target="https://www.linkedin.com/search/results/people/?keywords=Katja+Toropainen+angel+investor+robotics+AI+deeptech" TargetMode="External"/><Relationship Id="rId758" Type="http://schemas.openxmlformats.org/officeDocument/2006/relationships/hyperlink" Target="https://www.linkedin.com/search/results/people/?keywords=David+Sacks+angel+investor+robotics+AI+deeptech" TargetMode="External"/><Relationship Id="rId515" Type="http://schemas.openxmlformats.org/officeDocument/2006/relationships/hyperlink" Target="https://shizune.co/investors/angel-investors-finland" TargetMode="External"/><Relationship Id="rId757" Type="http://schemas.openxmlformats.org/officeDocument/2006/relationships/hyperlink" Target="https://shizune.co/investors/artificial-intelligence-angel-investors-united-states" TargetMode="External"/><Relationship Id="rId15" Type="http://schemas.openxmlformats.org/officeDocument/2006/relationships/hyperlink" Target="https://shizune.co/investors/machine-learning-angel-investors-spain" TargetMode="External"/><Relationship Id="rId14" Type="http://schemas.openxmlformats.org/officeDocument/2006/relationships/hyperlink" Target="https://deeptechvclist.com/pages/robotics/" TargetMode="External"/><Relationship Id="rId17" Type="http://schemas.openxmlformats.org/officeDocument/2006/relationships/hyperlink" Target="https://shizune.co/investors/machine-learning-angel-investors-spain" TargetMode="External"/><Relationship Id="rId16" Type="http://schemas.openxmlformats.org/officeDocument/2006/relationships/hyperlink" Target="https://www.linkedin.com/search/results/people/?keywords=Francesc+Andreu+Individual+Angel" TargetMode="External"/><Relationship Id="rId19" Type="http://schemas.openxmlformats.org/officeDocument/2006/relationships/hyperlink" Target="https://www.linkedin.com/search/results/people/?keywords=Greg%20Reichow%20Eclipse%20Ventures%20LinkedIn" TargetMode="External"/><Relationship Id="rId510" Type="http://schemas.openxmlformats.org/officeDocument/2006/relationships/hyperlink" Target="https://www.linkedin.com/search/results/people/?keywords=Tobias+L%C3%BCtke+angel+investor+robotics+AI+deeptech" TargetMode="External"/><Relationship Id="rId752" Type="http://schemas.openxmlformats.org/officeDocument/2006/relationships/hyperlink" Target="https://www.linkedin.com/search/results/people/?keywords=Daniel+Gross+angel+investor+robotics+AI+deeptech" TargetMode="External"/><Relationship Id="rId18" Type="http://schemas.openxmlformats.org/officeDocument/2006/relationships/hyperlink" Target="https://www.linkedin.com/search/results/people/?keywords=Nathan%20Benaich%20Deeptech%20Labs%20LinkedIn" TargetMode="External"/><Relationship Id="rId751" Type="http://schemas.openxmlformats.org/officeDocument/2006/relationships/hyperlink" Target="https://shizune.co/investors/artificial-intelligence-angel-investors-united-states" TargetMode="External"/><Relationship Id="rId750" Type="http://schemas.openxmlformats.org/officeDocument/2006/relationships/hyperlink" Target="https://www.linkedin.com/search/results/people/?keywords=Connie+Chan+angel+investor+robotics+AI+deeptech" TargetMode="External"/><Relationship Id="rId84" Type="http://schemas.openxmlformats.org/officeDocument/2006/relationships/hyperlink" Target="https://www.linkedin.com/search/results/people/?keywords=Elizabeth%20Reynolds%20Starburst%20Aerospace%20LinkedIn" TargetMode="External"/><Relationship Id="rId83" Type="http://schemas.openxmlformats.org/officeDocument/2006/relationships/hyperlink" Target="https://www.linkedin.com/search/results/people/?keywords=Van%20Espahbodi%20Starburst%20Aerospace%20LinkedIn" TargetMode="External"/><Relationship Id="rId86" Type="http://schemas.openxmlformats.org/officeDocument/2006/relationships/hyperlink" Target="https://www.linkedin.com/search/results/people/?keywords=Rachel%20Delacour%20Bpifrance%20LinkedIn" TargetMode="External"/><Relationship Id="rId85" Type="http://schemas.openxmlformats.org/officeDocument/2006/relationships/hyperlink" Target="https://www.linkedin.com/search/results/people/?keywords=Paul-Fran%C3%A7ois%20Fournier%20Bpifrance%20LinkedIn" TargetMode="External"/><Relationship Id="rId88" Type="http://schemas.openxmlformats.org/officeDocument/2006/relationships/hyperlink" Target="https://www.linkedin.com/search/results/people/?keywords=Nard%20Sintenie%20Innovation%20Industries%20LinkedIn" TargetMode="External"/><Relationship Id="rId87" Type="http://schemas.openxmlformats.org/officeDocument/2006/relationships/hyperlink" Target="https://www.linkedin.com/search/results/people/?keywords=Bpifrance%20Deeptech%20Team%20Bpifrance%20LinkedIn" TargetMode="External"/><Relationship Id="rId89" Type="http://schemas.openxmlformats.org/officeDocument/2006/relationships/hyperlink" Target="https://www.linkedin.com/search/results/people/?keywords=Harm%20de%20Vries%20Innovation%20Industries%20LinkedIn" TargetMode="External"/><Relationship Id="rId709" Type="http://schemas.openxmlformats.org/officeDocument/2006/relationships/hyperlink" Target="https://shizune.co/investors/artificial-intelligence-angel-investors-united-states" TargetMode="External"/><Relationship Id="rId708" Type="http://schemas.openxmlformats.org/officeDocument/2006/relationships/hyperlink" Target="https://www.linkedin.com/search/results/people/?keywords=Amjad+Masad+angel+investor+robotics+AI+deeptech" TargetMode="External"/><Relationship Id="rId707" Type="http://schemas.openxmlformats.org/officeDocument/2006/relationships/hyperlink" Target="https://shizune.co/investors/artificial-intelligence-angel-investors-united-states" TargetMode="External"/><Relationship Id="rId949" Type="http://schemas.openxmlformats.org/officeDocument/2006/relationships/hyperlink" Target="https://shizune.co/investors/angel-investors-israel" TargetMode="External"/><Relationship Id="rId706" Type="http://schemas.openxmlformats.org/officeDocument/2006/relationships/hyperlink" Target="https://www.linkedin.com/search/results/people/?keywords=Amit+Singhal+angel+investor+robotics+AI+deeptech" TargetMode="External"/><Relationship Id="rId948" Type="http://schemas.openxmlformats.org/officeDocument/2006/relationships/hyperlink" Target="https://www.linkedin.com/search/results/people/?keywords=Tal+Barnoach+angel+investor+robotics+AI+deeptech" TargetMode="External"/><Relationship Id="rId80" Type="http://schemas.openxmlformats.org/officeDocument/2006/relationships/hyperlink" Target="https://www.linkedin.com/search/results/people/?keywords=Barbara%20Belvisi%20Hardware%20Club%20LinkedIn" TargetMode="External"/><Relationship Id="rId82" Type="http://schemas.openxmlformats.org/officeDocument/2006/relationships/hyperlink" Target="https://www.linkedin.com/search/results/people/?keywords=Fran%C3%A7ois%20Chopard%20Starburst%20Aerospace%20LinkedIn" TargetMode="External"/><Relationship Id="rId81" Type="http://schemas.openxmlformats.org/officeDocument/2006/relationships/hyperlink" Target="https://www.linkedin.com/search/results/people/?keywords=Xavier%20Duportet%20Hello%20Tomorrow%20LinkedIn" TargetMode="External"/><Relationship Id="rId701" Type="http://schemas.openxmlformats.org/officeDocument/2006/relationships/hyperlink" Target="https://shizune.co/investors/artificial-intelligence-angel-investors-united-states" TargetMode="External"/><Relationship Id="rId943" Type="http://schemas.openxmlformats.org/officeDocument/2006/relationships/hyperlink" Target="https://shizune.co/investors/angel-investors-israel" TargetMode="External"/><Relationship Id="rId700" Type="http://schemas.openxmlformats.org/officeDocument/2006/relationships/hyperlink" Target="https://www.linkedin.com/search/results/people/?keywords=Alexis+Ohanian+angel+investor+robotics+AI+deeptech" TargetMode="External"/><Relationship Id="rId942" Type="http://schemas.openxmlformats.org/officeDocument/2006/relationships/hyperlink" Target="https://www.linkedin.com/search/results/people/?keywords=Gigi+Levy-Weiss+angel+investor+robotics+AI+deeptech" TargetMode="External"/><Relationship Id="rId941" Type="http://schemas.openxmlformats.org/officeDocument/2006/relationships/hyperlink" Target="https://shizune.co/investors/angel-investors-israel" TargetMode="External"/><Relationship Id="rId940" Type="http://schemas.openxmlformats.org/officeDocument/2006/relationships/hyperlink" Target="https://www.linkedin.com/search/results/people/?keywords=Eyal+Gura+angel+investor+robotics+AI+deeptech" TargetMode="External"/><Relationship Id="rId705" Type="http://schemas.openxmlformats.org/officeDocument/2006/relationships/hyperlink" Target="https://shizune.co/investors/artificial-intelligence-angel-investors-united-states" TargetMode="External"/><Relationship Id="rId947" Type="http://schemas.openxmlformats.org/officeDocument/2006/relationships/hyperlink" Target="https://shizune.co/investors/angel-investors-israel" TargetMode="External"/><Relationship Id="rId704" Type="http://schemas.openxmlformats.org/officeDocument/2006/relationships/hyperlink" Target="https://www.linkedin.com/search/results/people/?keywords=Ali+Partovi+angel+investor+robotics+AI+deeptech" TargetMode="External"/><Relationship Id="rId946" Type="http://schemas.openxmlformats.org/officeDocument/2006/relationships/hyperlink" Target="https://www.linkedin.com/search/results/people/?keywords=Moshe+Lichtman+angel+investor+robotics+AI+deeptech" TargetMode="External"/><Relationship Id="rId703" Type="http://schemas.openxmlformats.org/officeDocument/2006/relationships/hyperlink" Target="https://shizune.co/investors/artificial-intelligence-angel-investors-united-states" TargetMode="External"/><Relationship Id="rId945" Type="http://schemas.openxmlformats.org/officeDocument/2006/relationships/hyperlink" Target="https://shizune.co/investors/angel-investors-israel" TargetMode="External"/><Relationship Id="rId702" Type="http://schemas.openxmlformats.org/officeDocument/2006/relationships/hyperlink" Target="https://www.linkedin.com/search/results/people/?keywords=Ali+Ghodsi+angel+investor+robotics+AI+deeptech" TargetMode="External"/><Relationship Id="rId944" Type="http://schemas.openxmlformats.org/officeDocument/2006/relationships/hyperlink" Target="https://www.linkedin.com/search/results/people/?keywords=Hillel+Fuld+angel+investor+robotics+AI+deeptech" TargetMode="External"/><Relationship Id="rId73" Type="http://schemas.openxmlformats.org/officeDocument/2006/relationships/hyperlink" Target="https://www.linkedin.com/search/results/people/?keywords=Ross%20Strachan%20Adara%20Ventures%20LinkedIn" TargetMode="External"/><Relationship Id="rId72" Type="http://schemas.openxmlformats.org/officeDocument/2006/relationships/hyperlink" Target="https://www.linkedin.com/search/results/people/?keywords=Nico%20Goulet%20Adara%20Ventures%20LinkedIn" TargetMode="External"/><Relationship Id="rId75" Type="http://schemas.openxmlformats.org/officeDocument/2006/relationships/hyperlink" Target="https://www.linkedin.com/search/results/people/?keywords=Marc%20Rougier%20Elaia%20LinkedIn" TargetMode="External"/><Relationship Id="rId74" Type="http://schemas.openxmlformats.org/officeDocument/2006/relationships/hyperlink" Target="https://www.linkedin.com/search/results/people/?keywords=Xavier%20Lazarus%20Elaia%20LinkedIn" TargetMode="External"/><Relationship Id="rId77" Type="http://schemas.openxmlformats.org/officeDocument/2006/relationships/hyperlink" Target="https://www.linkedin.com/search/results/people/?keywords=Cyril%20Ebersweiler%20HCVC%20LinkedIn" TargetMode="External"/><Relationship Id="rId76" Type="http://schemas.openxmlformats.org/officeDocument/2006/relationships/hyperlink" Target="https://www.linkedin.com/search/results/people/?keywords=Pascal%20Cagni%20HCVC%20LinkedIn" TargetMode="External"/><Relationship Id="rId79" Type="http://schemas.openxmlformats.org/officeDocument/2006/relationships/hyperlink" Target="https://www.linkedin.com/search/results/people/?keywords=Alexis%20Houssou%20Hardware%20Club%20LinkedIn" TargetMode="External"/><Relationship Id="rId78" Type="http://schemas.openxmlformats.org/officeDocument/2006/relationships/hyperlink" Target="https://www.linkedin.com/search/results/people/?keywords=Gabriel%20Hubert%20HCVC%20LinkedIn" TargetMode="External"/><Relationship Id="rId939" Type="http://schemas.openxmlformats.org/officeDocument/2006/relationships/hyperlink" Target="https://shizune.co/investors/artificial-intelligence-angel-investors-united-states" TargetMode="External"/><Relationship Id="rId938" Type="http://schemas.openxmlformats.org/officeDocument/2006/relationships/hyperlink" Target="https://www.linkedin.com/search/results/people/?keywords=Zach+Coelius+angel+investor+robotics+AI+deeptech" TargetMode="External"/><Relationship Id="rId937" Type="http://schemas.openxmlformats.org/officeDocument/2006/relationships/hyperlink" Target="https://shizune.co/investors/artificial-intelligence-angel-investors-united-states" TargetMode="External"/><Relationship Id="rId71" Type="http://schemas.openxmlformats.org/officeDocument/2006/relationships/hyperlink" Target="https://www.linkedin.com/search/results/people/?keywords=I%C3%B1aki%20Arrola%20K%20Fund%20LinkedIn" TargetMode="External"/><Relationship Id="rId70" Type="http://schemas.openxmlformats.org/officeDocument/2006/relationships/hyperlink" Target="https://www.linkedin.com/search/results/people/?keywords=Nacho%20Mateo%20South%20Summit%20LinkedIn" TargetMode="External"/><Relationship Id="rId932" Type="http://schemas.openxmlformats.org/officeDocument/2006/relationships/hyperlink" Target="https://www.linkedin.com/search/results/people/?keywords=Tom+Preston-Werner+angel+investor+robotics+AI+deeptech" TargetMode="External"/><Relationship Id="rId931" Type="http://schemas.openxmlformats.org/officeDocument/2006/relationships/hyperlink" Target="https://shizune.co/investors/artificial-intelligence-angel-investors-united-states" TargetMode="External"/><Relationship Id="rId930" Type="http://schemas.openxmlformats.org/officeDocument/2006/relationships/hyperlink" Target="https://www.linkedin.com/search/results/people/?keywords=Sriram+Krishnan+angel+investor+robotics+AI+deeptech" TargetMode="External"/><Relationship Id="rId936" Type="http://schemas.openxmlformats.org/officeDocument/2006/relationships/hyperlink" Target="https://www.linkedin.com/search/results/people/?keywords=Wei+Guo+angel+investor+robotics+AI+deeptech" TargetMode="External"/><Relationship Id="rId935" Type="http://schemas.openxmlformats.org/officeDocument/2006/relationships/hyperlink" Target="https://shizune.co/investors/artificial-intelligence-angel-investors-united-states" TargetMode="External"/><Relationship Id="rId934" Type="http://schemas.openxmlformats.org/officeDocument/2006/relationships/hyperlink" Target="https://www.linkedin.com/search/results/people/?keywords=Vijay+Krishnan+angel+investor+robotics+AI+deeptech" TargetMode="External"/><Relationship Id="rId933" Type="http://schemas.openxmlformats.org/officeDocument/2006/relationships/hyperlink" Target="https://shizune.co/investors/artificial-intelligence-angel-investors-united-states" TargetMode="External"/><Relationship Id="rId62" Type="http://schemas.openxmlformats.org/officeDocument/2006/relationships/hyperlink" Target="https://www.linkedin.com/search/results/people/?keywords=Francesc%20Fajula%20The%20Collider%20/%20Mobile%20World%20Capital%20Barcelona%20LinkedIn" TargetMode="External"/><Relationship Id="rId61" Type="http://schemas.openxmlformats.org/officeDocument/2006/relationships/hyperlink" Target="https://www.linkedin.com/search/results/people/?keywords=Andr%C3%A9s%20de%20Le%C3%B3n%20Bullnet%20Capital%20LinkedIn" TargetMode="External"/><Relationship Id="rId64" Type="http://schemas.openxmlformats.org/officeDocument/2006/relationships/hyperlink" Target="https://www.linkedin.com/search/results/people/?keywords=Laura%20Fern%C3%A1ndez%20The%20Collider%20/%20Mobile%20World%20Capital%20Barcelona%20LinkedIn" TargetMode="External"/><Relationship Id="rId63" Type="http://schemas.openxmlformats.org/officeDocument/2006/relationships/hyperlink" Target="https://thecollider.tech/" TargetMode="External"/><Relationship Id="rId66" Type="http://schemas.openxmlformats.org/officeDocument/2006/relationships/hyperlink" Target="https://www.linkedin.com/search/results/people/?keywords=Juan%20Roig%20Lanzadera%20LinkedIn" TargetMode="External"/><Relationship Id="rId65" Type="http://schemas.openxmlformats.org/officeDocument/2006/relationships/hyperlink" Target="https://thecollider.tech/" TargetMode="External"/><Relationship Id="rId68" Type="http://schemas.openxmlformats.org/officeDocument/2006/relationships/hyperlink" Target="https://www.linkedin.com/search/results/people/?keywords=Marta%20Ant%C3%BAnez%20Wayra%20Spain%20LinkedIn" TargetMode="External"/><Relationship Id="rId67" Type="http://schemas.openxmlformats.org/officeDocument/2006/relationships/hyperlink" Target="https://www.linkedin.com/search/results/people/?keywords=Irene%20G%C3%B3mez%20Wayra%20Spain%20LinkedIn" TargetMode="External"/><Relationship Id="rId729" Type="http://schemas.openxmlformats.org/officeDocument/2006/relationships/hyperlink" Target="https://shizune.co/investors/artificial-intelligence-angel-investors-united-states" TargetMode="External"/><Relationship Id="rId728" Type="http://schemas.openxmlformats.org/officeDocument/2006/relationships/hyperlink" Target="https://www.linkedin.com/search/results/people/?keywords=Ben+Horowitz+angel+investor+robotics+AI+deeptech" TargetMode="External"/><Relationship Id="rId60" Type="http://schemas.openxmlformats.org/officeDocument/2006/relationships/hyperlink" Target="https://www.linkedin.com/search/results/people/?keywords=Ana%20Maiques%20BeAble%20Capital%20LinkedIn" TargetMode="External"/><Relationship Id="rId723" Type="http://schemas.openxmlformats.org/officeDocument/2006/relationships/hyperlink" Target="https://shizune.co/investors/artificial-intelligence-angel-investors-united-states" TargetMode="External"/><Relationship Id="rId965" Type="http://schemas.openxmlformats.org/officeDocument/2006/relationships/hyperlink" Target="https://shizune.co/investors/artificial-intelligence-angel-investors" TargetMode="External"/><Relationship Id="rId722" Type="http://schemas.openxmlformats.org/officeDocument/2006/relationships/hyperlink" Target="https://www.linkedin.com/search/results/people/?keywords=Arash+Ferdowsi+angel+investor+robotics+AI+deeptech" TargetMode="External"/><Relationship Id="rId964" Type="http://schemas.openxmlformats.org/officeDocument/2006/relationships/hyperlink" Target="https://www.linkedin.com/search/results/people/?keywords=Rajan+Anandan+angel+investor+robotics+AI+deeptech" TargetMode="External"/><Relationship Id="rId721" Type="http://schemas.openxmlformats.org/officeDocument/2006/relationships/hyperlink" Target="https://shizune.co/investors/artificial-intelligence-angel-investors-united-states" TargetMode="External"/><Relationship Id="rId963" Type="http://schemas.openxmlformats.org/officeDocument/2006/relationships/hyperlink" Target="https://shizune.co/investors/artificial-intelligence-angel-investors" TargetMode="External"/><Relationship Id="rId720" Type="http://schemas.openxmlformats.org/officeDocument/2006/relationships/hyperlink" Target="https://www.linkedin.com/search/results/people/?keywords=Aparna+Chennapragada+angel+investor+robotics+AI+deeptech" TargetMode="External"/><Relationship Id="rId962" Type="http://schemas.openxmlformats.org/officeDocument/2006/relationships/hyperlink" Target="https://www.linkedin.com/search/results/people/?keywords=Naveen+Tewari+angel+investor+robotics+AI+deeptech" TargetMode="External"/><Relationship Id="rId727" Type="http://schemas.openxmlformats.org/officeDocument/2006/relationships/hyperlink" Target="https://shizune.co/investors/artificial-intelligence-angel-investors-united-states" TargetMode="External"/><Relationship Id="rId969" Type="http://schemas.openxmlformats.org/officeDocument/2006/relationships/hyperlink" Target="https://shizune.co/investors/artificial-intelligence-angel-investors" TargetMode="External"/><Relationship Id="rId726" Type="http://schemas.openxmlformats.org/officeDocument/2006/relationships/hyperlink" Target="https://www.linkedin.com/search/results/people/?keywords=Balaji+Srinivasan+angel+investor+robotics+AI+deeptech" TargetMode="External"/><Relationship Id="rId968" Type="http://schemas.openxmlformats.org/officeDocument/2006/relationships/hyperlink" Target="https://www.linkedin.com/search/results/people/?keywords=Sameer+Nigam+angel+investor+robotics+AI+deeptech" TargetMode="External"/><Relationship Id="rId725" Type="http://schemas.openxmlformats.org/officeDocument/2006/relationships/hyperlink" Target="https://shizune.co/investors/artificial-intelligence-angel-investors-united-states" TargetMode="External"/><Relationship Id="rId967" Type="http://schemas.openxmlformats.org/officeDocument/2006/relationships/hyperlink" Target="https://shizune.co/investors/artificial-intelligence-angel-investors" TargetMode="External"/><Relationship Id="rId724" Type="http://schemas.openxmlformats.org/officeDocument/2006/relationships/hyperlink" Target="https://www.linkedin.com/search/results/people/?keywords=Aydin+Senkut+angel+investor+robotics+AI+deeptech" TargetMode="External"/><Relationship Id="rId966" Type="http://schemas.openxmlformats.org/officeDocument/2006/relationships/hyperlink" Target="https://www.linkedin.com/search/results/people/?keywords=Rohit+Bansal+angel+investor+robotics+AI+deeptech" TargetMode="External"/><Relationship Id="rId69" Type="http://schemas.openxmlformats.org/officeDocument/2006/relationships/hyperlink" Target="https://www.linkedin.com/search/results/people/?keywords=Mar%C3%ADa%20Benjumea%20South%20Summit%20LinkedIn" TargetMode="External"/><Relationship Id="rId961" Type="http://schemas.openxmlformats.org/officeDocument/2006/relationships/hyperlink" Target="https://shizune.co/investors/artificial-intelligence-angel-investors" TargetMode="External"/><Relationship Id="rId960" Type="http://schemas.openxmlformats.org/officeDocument/2006/relationships/hyperlink" Target="https://www.linkedin.com/search/results/people/?keywords=Kunal+Shah+angel+investor+robotics+AI+deeptech" TargetMode="External"/><Relationship Id="rId51" Type="http://schemas.openxmlformats.org/officeDocument/2006/relationships/hyperlink" Target="https://www.linkedin.com/search/results/people/?keywords=Rajeev%20Madhavan%20Next47%20LinkedIn" TargetMode="External"/><Relationship Id="rId50" Type="http://schemas.openxmlformats.org/officeDocument/2006/relationships/hyperlink" Target="https://www.linkedin.com/search/results/people/?keywords=Matthew%20Cowan%20Next47%20LinkedIn" TargetMode="External"/><Relationship Id="rId53" Type="http://schemas.openxmlformats.org/officeDocument/2006/relationships/hyperlink" Target="https://www.linkedin.com/search/results/people/?keywords=DTCF%20Investment%20Team%20DeepTech%20%26%20Climate%20Fonds%20LinkedIn" TargetMode="External"/><Relationship Id="rId52" Type="http://schemas.openxmlformats.org/officeDocument/2006/relationships/hyperlink" Target="https://www.linkedin.com/search/results/people/?keywords=J%C3%B6rg%20Sperling%20DeepTech%20%26%20Climate%20Fonds%20LinkedIn" TargetMode="External"/><Relationship Id="rId55" Type="http://schemas.openxmlformats.org/officeDocument/2006/relationships/hyperlink" Target="https://www.linkedin.com/search/results/people/?keywords=Marc%20Sieberger%20Freigeist%20Capital%20LinkedIn" TargetMode="External"/><Relationship Id="rId54" Type="http://schemas.openxmlformats.org/officeDocument/2006/relationships/hyperlink" Target="https://www.linkedin.com/search/results/people/?keywords=Frank%20Thelen%20Freigeist%20Capital%20LinkedIn" TargetMode="External"/><Relationship Id="rId57" Type="http://schemas.openxmlformats.org/officeDocument/2006/relationships/hyperlink" Target="https://www.linkedin.com/search/results/people/?keywords=Javier%20Torremocha%20Kibo%20Ventures%20LinkedIn" TargetMode="External"/><Relationship Id="rId56" Type="http://schemas.openxmlformats.org/officeDocument/2006/relationships/hyperlink" Target="https://www.linkedin.com/search/results/people/?keywords=Alex%20Koch%20Freigeist%20Capital%20LinkedIn" TargetMode="External"/><Relationship Id="rId719" Type="http://schemas.openxmlformats.org/officeDocument/2006/relationships/hyperlink" Target="https://shizune.co/investors/artificial-intelligence-angel-investors-united-states" TargetMode="External"/><Relationship Id="rId718" Type="http://schemas.openxmlformats.org/officeDocument/2006/relationships/hyperlink" Target="https://www.linkedin.com/search/results/people/?keywords=Anthony+Goldbloom+angel+investor+robotics+AI+deeptech" TargetMode="External"/><Relationship Id="rId717" Type="http://schemas.openxmlformats.org/officeDocument/2006/relationships/hyperlink" Target="https://shizune.co/investors/artificial-intelligence-angel-investors-united-states" TargetMode="External"/><Relationship Id="rId959" Type="http://schemas.openxmlformats.org/officeDocument/2006/relationships/hyperlink" Target="https://shizune.co/investors/artificial-intelligence-angel-investors" TargetMode="External"/><Relationship Id="rId712" Type="http://schemas.openxmlformats.org/officeDocument/2006/relationships/hyperlink" Target="https://www.linkedin.com/search/results/people/?keywords=Andrew+Bialecki+angel+investor+robotics+AI+deeptech" TargetMode="External"/><Relationship Id="rId954" Type="http://schemas.openxmlformats.org/officeDocument/2006/relationships/hyperlink" Target="https://www.linkedin.com/search/results/people/?keywords=Anupam+Mittal+angel+investor+robotics+AI+deeptech" TargetMode="External"/><Relationship Id="rId711" Type="http://schemas.openxmlformats.org/officeDocument/2006/relationships/hyperlink" Target="https://shizune.co/investors/artificial-intelligence-angel-investors-united-states" TargetMode="External"/><Relationship Id="rId953" Type="http://schemas.openxmlformats.org/officeDocument/2006/relationships/hyperlink" Target="https://shizune.co/investors/angel-investors-israel" TargetMode="External"/><Relationship Id="rId710" Type="http://schemas.openxmlformats.org/officeDocument/2006/relationships/hyperlink" Target="https://www.linkedin.com/search/results/people/?keywords=Anand+Chandrasekaran+angel+investor+robotics+AI+deeptech" TargetMode="External"/><Relationship Id="rId952" Type="http://schemas.openxmlformats.org/officeDocument/2006/relationships/hyperlink" Target="https://www.linkedin.com/search/results/people/?keywords=Zohar+Gilon+angel+investor+robotics+AI+deeptech" TargetMode="External"/><Relationship Id="rId951" Type="http://schemas.openxmlformats.org/officeDocument/2006/relationships/hyperlink" Target="https://shizune.co/investors/angel-investors-israel" TargetMode="External"/><Relationship Id="rId716" Type="http://schemas.openxmlformats.org/officeDocument/2006/relationships/hyperlink" Target="https://www.linkedin.com/search/results/people/?keywords=Anjney+Midha+angel+investor+robotics+AI+deeptech" TargetMode="External"/><Relationship Id="rId958" Type="http://schemas.openxmlformats.org/officeDocument/2006/relationships/hyperlink" Target="https://www.linkedin.com/search/results/people/?keywords=Kunal+Bahl+angel+investor+robotics+AI+deeptech" TargetMode="External"/><Relationship Id="rId715" Type="http://schemas.openxmlformats.org/officeDocument/2006/relationships/hyperlink" Target="https://shizune.co/investors/artificial-intelligence-angel-investors-united-states" TargetMode="External"/><Relationship Id="rId957" Type="http://schemas.openxmlformats.org/officeDocument/2006/relationships/hyperlink" Target="https://shizune.co/investors/artificial-intelligence-angel-investors" TargetMode="External"/><Relationship Id="rId714" Type="http://schemas.openxmlformats.org/officeDocument/2006/relationships/hyperlink" Target="https://www.linkedin.com/search/results/people/?keywords=Andrew+Chen+angel+investor+robotics+AI+deeptech" TargetMode="External"/><Relationship Id="rId956" Type="http://schemas.openxmlformats.org/officeDocument/2006/relationships/hyperlink" Target="https://www.linkedin.com/search/results/people/?keywords=Binny+Bansal+angel+investor+robotics+AI+deeptech" TargetMode="External"/><Relationship Id="rId713" Type="http://schemas.openxmlformats.org/officeDocument/2006/relationships/hyperlink" Target="https://shizune.co/investors/artificial-intelligence-angel-investors-united-states" TargetMode="External"/><Relationship Id="rId955" Type="http://schemas.openxmlformats.org/officeDocument/2006/relationships/hyperlink" Target="https://shizune.co/investors/artificial-intelligence-angel-investors" TargetMode="External"/><Relationship Id="rId59" Type="http://schemas.openxmlformats.org/officeDocument/2006/relationships/hyperlink" Target="https://www.linkedin.com/search/results/people/?keywords=Alberto%20D%C3%ADaz%20BeAble%20Capital%20LinkedIn" TargetMode="External"/><Relationship Id="rId58" Type="http://schemas.openxmlformats.org/officeDocument/2006/relationships/hyperlink" Target="https://www.linkedin.com/search/results/people/?keywords=Miguel%20Arias%20Kibo%20Ventures%20LinkedIn" TargetMode="External"/><Relationship Id="rId950" Type="http://schemas.openxmlformats.org/officeDocument/2006/relationships/hyperlink" Target="https://www.linkedin.com/search/results/people/?keywords=Yossi+Vardi+angel+investor+robotics+AI+deeptech" TargetMode="External"/><Relationship Id="rId590" Type="http://schemas.openxmlformats.org/officeDocument/2006/relationships/hyperlink" Target="https://www.linkedin.com/search/results/people/?keywords=Diane+Greene+angel+investor+robotics+AI+deeptech" TargetMode="External"/><Relationship Id="rId107" Type="http://schemas.openxmlformats.org/officeDocument/2006/relationships/hyperlink" Target="https://www.linkedin.com/search/results/people/?keywords=Beat%20Schillig%20Venture%20Kick%20LinkedIn" TargetMode="External"/><Relationship Id="rId349" Type="http://schemas.openxmlformats.org/officeDocument/2006/relationships/hyperlink" Target="https://shizune.co/investors/angel-investors-united-kingdom" TargetMode="External"/><Relationship Id="rId106" Type="http://schemas.openxmlformats.org/officeDocument/2006/relationships/hyperlink" Target="https://www.linkedin.com/search/results/people/?keywords=Jordi%20Montserrat%20Venture%20Kick%20LinkedIn" TargetMode="External"/><Relationship Id="rId348" Type="http://schemas.openxmlformats.org/officeDocument/2006/relationships/hyperlink" Target="https://www.linkedin.com/search/results/people/?keywords=Roxana+Stingu+angel+investor+robotics+AI+deeptech" TargetMode="External"/><Relationship Id="rId105" Type="http://schemas.openxmlformats.org/officeDocument/2006/relationships/hyperlink" Target="https://www.linkedin.com/search/results/people/?keywords=Danish%20Tech%20Challenge%20Team%20Danish%20Tech%20Challenge%20LinkedIn" TargetMode="External"/><Relationship Id="rId347" Type="http://schemas.openxmlformats.org/officeDocument/2006/relationships/hyperlink" Target="https://shizune.co/investors/angel-investors-united-kingdom" TargetMode="External"/><Relationship Id="rId589" Type="http://schemas.openxmlformats.org/officeDocument/2006/relationships/hyperlink" Target="https://shizune.co/investors/hardware-angel-investors-united-states" TargetMode="External"/><Relationship Id="rId104" Type="http://schemas.openxmlformats.org/officeDocument/2006/relationships/hyperlink" Target="https://www.linkedin.com/search/results/people/?keywords=Rasmus%20Lund%20Danish%20Tech%20Challenge%20LinkedIn" TargetMode="External"/><Relationship Id="rId346" Type="http://schemas.openxmlformats.org/officeDocument/2006/relationships/hyperlink" Target="https://www.linkedin.com/search/results/people/?keywords=Robin+Knox+angel+investor+robotics+AI+deeptech" TargetMode="External"/><Relationship Id="rId588" Type="http://schemas.openxmlformats.org/officeDocument/2006/relationships/hyperlink" Target="https://www.linkedin.com/search/results/people/?keywords=Dave+Clark+angel+investor+robotics+AI+deeptech" TargetMode="External"/><Relationship Id="rId109" Type="http://schemas.openxmlformats.org/officeDocument/2006/relationships/hyperlink" Target="https://www.linkedin.com/search/results/people/?keywords=Katka%20Letzing%20Kickstart%20Innovation%20LinkedIn" TargetMode="External"/><Relationship Id="rId108" Type="http://schemas.openxmlformats.org/officeDocument/2006/relationships/hyperlink" Target="https://www.linkedin.com/search/results/people/?keywords=Philippe%20Darbelley%20Venture%20Kick%20LinkedIn" TargetMode="External"/><Relationship Id="rId341" Type="http://schemas.openxmlformats.org/officeDocument/2006/relationships/hyperlink" Target="https://shizune.co/investors/angel-investors-united-kingdom" TargetMode="External"/><Relationship Id="rId583" Type="http://schemas.openxmlformats.org/officeDocument/2006/relationships/hyperlink" Target="https://shizune.co/investors/artificial-intelligence-angel-investors-united-states" TargetMode="External"/><Relationship Id="rId340" Type="http://schemas.openxmlformats.org/officeDocument/2006/relationships/hyperlink" Target="https://www.linkedin.com/search/results/people/?keywords=Richard+Muirhead+angel+investor+robotics+AI+deeptech" TargetMode="External"/><Relationship Id="rId582" Type="http://schemas.openxmlformats.org/officeDocument/2006/relationships/hyperlink" Target="https://www.linkedin.com/search/results/people/?keywords=Cyan+Banister+angel+investor+robotics+AI+deeptech" TargetMode="External"/><Relationship Id="rId581" Type="http://schemas.openxmlformats.org/officeDocument/2006/relationships/hyperlink" Target="https://shizune.co/investors/hardware-angel-investors-united-states" TargetMode="External"/><Relationship Id="rId580" Type="http://schemas.openxmlformats.org/officeDocument/2006/relationships/hyperlink" Target="https://www.linkedin.com/search/results/people/?keywords=Chris+Urmson+angel+investor+robotics+AI+deeptech" TargetMode="External"/><Relationship Id="rId103" Type="http://schemas.openxmlformats.org/officeDocument/2006/relationships/hyperlink" Target="https://www.linkedin.com/search/results/people/?keywords=Peter%20Torstensen%20Danish%20Tech%20Challenge%20LinkedIn" TargetMode="External"/><Relationship Id="rId345" Type="http://schemas.openxmlformats.org/officeDocument/2006/relationships/hyperlink" Target="https://shizune.co/investors/angel-investors-united-kingdom" TargetMode="External"/><Relationship Id="rId587" Type="http://schemas.openxmlformats.org/officeDocument/2006/relationships/hyperlink" Target="https://shizune.co/investors/artificial-intelligence-angel-investors-united-states" TargetMode="External"/><Relationship Id="rId102" Type="http://schemas.openxmlformats.org/officeDocument/2006/relationships/hyperlink" Target="https://www.linkedin.com/search/results/people/?keywords=Lars%20Pedersen%20DTU%20Skylab%20LinkedIn" TargetMode="External"/><Relationship Id="rId344" Type="http://schemas.openxmlformats.org/officeDocument/2006/relationships/hyperlink" Target="https://www.linkedin.com/search/results/people/?keywords=Robin+Klein+angel+investor+robotics+AI+deeptech" TargetMode="External"/><Relationship Id="rId586" Type="http://schemas.openxmlformats.org/officeDocument/2006/relationships/hyperlink" Target="https://www.linkedin.com/search/results/people/?keywords=Daphne+Koller+angel+investor+robotics+AI+deeptech" TargetMode="External"/><Relationship Id="rId101" Type="http://schemas.openxmlformats.org/officeDocument/2006/relationships/hyperlink" Target="https://www.linkedin.com/search/results/people/?keywords=Christina%20Lasthein%20DTU%20Skylab%20LinkedIn" TargetMode="External"/><Relationship Id="rId343" Type="http://schemas.openxmlformats.org/officeDocument/2006/relationships/hyperlink" Target="https://shizune.co/investors/angel-investors-united-kingdom" TargetMode="External"/><Relationship Id="rId585" Type="http://schemas.openxmlformats.org/officeDocument/2006/relationships/hyperlink" Target="https://shizune.co/investors/hardware-angel-investors-united-states" TargetMode="External"/><Relationship Id="rId100" Type="http://schemas.openxmlformats.org/officeDocument/2006/relationships/hyperlink" Target="https://www.linkedin.com/search/results/people/?keywords=Timo%20Ahopelto%20Lifeline%20Ventures%20LinkedIn" TargetMode="External"/><Relationship Id="rId342" Type="http://schemas.openxmlformats.org/officeDocument/2006/relationships/hyperlink" Target="https://www.linkedin.com/search/results/people/?keywords=Richard+Reed+angel+investor+robotics+AI+deeptech" TargetMode="External"/><Relationship Id="rId584" Type="http://schemas.openxmlformats.org/officeDocument/2006/relationships/hyperlink" Target="https://www.linkedin.com/search/results/people/?keywords=Daniela+Rus+angel+investor+robotics+AI+deeptech" TargetMode="External"/><Relationship Id="rId338" Type="http://schemas.openxmlformats.org/officeDocument/2006/relationships/hyperlink" Target="https://www.linkedin.com/search/results/people/?keywords=Richard+Fearn+angel+investor+robotics+AI+deeptech" TargetMode="External"/><Relationship Id="rId337" Type="http://schemas.openxmlformats.org/officeDocument/2006/relationships/hyperlink" Target="https://shizune.co/investors/angel-investors-united-kingdom" TargetMode="External"/><Relationship Id="rId579" Type="http://schemas.openxmlformats.org/officeDocument/2006/relationships/hyperlink" Target="https://shizune.co/investors/hardware-angel-investors-united-states" TargetMode="External"/><Relationship Id="rId336" Type="http://schemas.openxmlformats.org/officeDocument/2006/relationships/hyperlink" Target="https://www.linkedin.com/search/results/people/?keywords=Reshma+Sohoni+angel+investor+robotics+AI+deeptech" TargetMode="External"/><Relationship Id="rId578" Type="http://schemas.openxmlformats.org/officeDocument/2006/relationships/hyperlink" Target="https://www.linkedin.com/search/results/people/?keywords=Bryan+Salesky+angel+investor+robotics+AI+deeptech" TargetMode="External"/><Relationship Id="rId335" Type="http://schemas.openxmlformats.org/officeDocument/2006/relationships/hyperlink" Target="https://shizune.co/investors/angel-investors-united-kingdom" TargetMode="External"/><Relationship Id="rId577" Type="http://schemas.openxmlformats.org/officeDocument/2006/relationships/hyperlink" Target="https://shizune.co/investors/hardware-angel-investors-united-states" TargetMode="External"/><Relationship Id="rId339" Type="http://schemas.openxmlformats.org/officeDocument/2006/relationships/hyperlink" Target="https://shizune.co/investors/angel-investors-united-kingdom" TargetMode="External"/><Relationship Id="rId330" Type="http://schemas.openxmlformats.org/officeDocument/2006/relationships/hyperlink" Target="https://www.linkedin.com/search/results/people/?keywords=Phil+O%27Donovan+angel+investor+robotics+AI+deeptech" TargetMode="External"/><Relationship Id="rId572" Type="http://schemas.openxmlformats.org/officeDocument/2006/relationships/hyperlink" Target="https://www.linkedin.com/search/results/people/?keywords=Andrew+Ng+angel+investor+robotics+AI+deeptech" TargetMode="External"/><Relationship Id="rId571" Type="http://schemas.openxmlformats.org/officeDocument/2006/relationships/hyperlink" Target="https://shizune.co/investors/hardware-angel-investors" TargetMode="External"/><Relationship Id="rId570" Type="http://schemas.openxmlformats.org/officeDocument/2006/relationships/hyperlink" Target="https://www.linkedin.com/search/results/people/?keywords=Liam+Casey+angel+investor+robotics+AI+deeptech" TargetMode="External"/><Relationship Id="rId334" Type="http://schemas.openxmlformats.org/officeDocument/2006/relationships/hyperlink" Target="https://www.linkedin.com/search/results/people/?keywords=Renaud+Visage+angel+investor+robotics+AI+deeptech" TargetMode="External"/><Relationship Id="rId576" Type="http://schemas.openxmlformats.org/officeDocument/2006/relationships/hyperlink" Target="https://www.linkedin.com/search/results/people/?keywords=Brett+Adcock+angel+investor+robotics+AI+deeptech" TargetMode="External"/><Relationship Id="rId333" Type="http://schemas.openxmlformats.org/officeDocument/2006/relationships/hyperlink" Target="https://shizune.co/investors/angel-investors-united-kingdom" TargetMode="External"/><Relationship Id="rId575" Type="http://schemas.openxmlformats.org/officeDocument/2006/relationships/hyperlink" Target="https://shizune.co/investors/hardware-angel-investors-united-states" TargetMode="External"/><Relationship Id="rId332" Type="http://schemas.openxmlformats.org/officeDocument/2006/relationships/hyperlink" Target="https://www.linkedin.com/search/results/people/?keywords=Remy+Lazarovici+angel+investor+robotics+AI+deeptech" TargetMode="External"/><Relationship Id="rId574" Type="http://schemas.openxmlformats.org/officeDocument/2006/relationships/hyperlink" Target="https://www.linkedin.com/search/results/people/?keywords=Ayanna+Howard+angel+investor+robotics+AI+deeptech" TargetMode="External"/><Relationship Id="rId331" Type="http://schemas.openxmlformats.org/officeDocument/2006/relationships/hyperlink" Target="https://shizune.co/investors/angel-investors-united-kingdom" TargetMode="External"/><Relationship Id="rId573" Type="http://schemas.openxmlformats.org/officeDocument/2006/relationships/hyperlink" Target="https://shizune.co/investors/artificial-intelligence-angel-investors-united-states" TargetMode="External"/><Relationship Id="rId370" Type="http://schemas.openxmlformats.org/officeDocument/2006/relationships/hyperlink" Target="https://www.linkedin.com/search/results/people/?keywords=Simon+Thorpe+angel+investor+robotics+AI+deeptech" TargetMode="External"/><Relationship Id="rId129" Type="http://schemas.openxmlformats.org/officeDocument/2006/relationships/hyperlink" Target="https://www.linkedin.com/search/results/people/?keywords=Amazon%20Industrial%20Innovation%20Fund%20Team%20Amazon%20Industrial%20Innovation%20Fund%20LinkedIn" TargetMode="External"/><Relationship Id="rId128" Type="http://schemas.openxmlformats.org/officeDocument/2006/relationships/hyperlink" Target="https://www.linkedin.com/search/results/people/?keywords=Katherine%20Chen%20Amazon%20Industrial%20Innovation%20Fund%20LinkedIn" TargetMode="External"/><Relationship Id="rId127" Type="http://schemas.openxmlformats.org/officeDocument/2006/relationships/hyperlink" Target="https://www.linkedin.com/search/results/people/?keywords=Franziska%20Bossart%20Amazon%20Industrial%20Innovation%20Fund%20LinkedIn" TargetMode="External"/><Relationship Id="rId369" Type="http://schemas.openxmlformats.org/officeDocument/2006/relationships/hyperlink" Target="https://shizune.co/investors/angel-investors-united-kingdom" TargetMode="External"/><Relationship Id="rId126" Type="http://schemas.openxmlformats.org/officeDocument/2006/relationships/hyperlink" Target="https://www.linkedin.com/search/results/people/?keywords=Chris%20Abshire%20Toyota%20Ventures%20LinkedIn" TargetMode="External"/><Relationship Id="rId368" Type="http://schemas.openxmlformats.org/officeDocument/2006/relationships/hyperlink" Target="https://www.linkedin.com/search/results/people/?keywords=Simon+Murdoch+angel+investor+robotics+AI+deeptech" TargetMode="External"/><Relationship Id="rId121" Type="http://schemas.openxmlformats.org/officeDocument/2006/relationships/hyperlink" Target="https://www.linkedin.com/search/results/people/?keywords=Bilal%20Zuberi%20Lux%20Capital%20LinkedIn" TargetMode="External"/><Relationship Id="rId363" Type="http://schemas.openxmlformats.org/officeDocument/2006/relationships/hyperlink" Target="https://shizune.co/investors/angel-investors-united-kingdom" TargetMode="External"/><Relationship Id="rId120" Type="http://schemas.openxmlformats.org/officeDocument/2006/relationships/hyperlink" Target="https://www.linkedin.com/search/results/people/?keywords=Brandon%20Reeves%20Lux%20Capital%20LinkedIn" TargetMode="External"/><Relationship Id="rId362" Type="http://schemas.openxmlformats.org/officeDocument/2006/relationships/hyperlink" Target="https://www.linkedin.com/search/results/people/?keywords=Simon+Calver+angel+investor+robotics+AI+deeptech" TargetMode="External"/><Relationship Id="rId361" Type="http://schemas.openxmlformats.org/officeDocument/2006/relationships/hyperlink" Target="https://shizune.co/investors/angel-investors-united-kingdom" TargetMode="External"/><Relationship Id="rId360" Type="http://schemas.openxmlformats.org/officeDocument/2006/relationships/hyperlink" Target="https://www.linkedin.com/search/results/people/?keywords=Sherry+Coutu+angel+investor+robotics+AI+deeptech" TargetMode="External"/><Relationship Id="rId125" Type="http://schemas.openxmlformats.org/officeDocument/2006/relationships/hyperlink" Target="https://www.linkedin.com/search/results/people/?keywords=Lisa%20Coca%20Toyota%20Ventures%20LinkedIn" TargetMode="External"/><Relationship Id="rId367" Type="http://schemas.openxmlformats.org/officeDocument/2006/relationships/hyperlink" Target="https://shizune.co/investors/angel-investors-united-kingdom" TargetMode="External"/><Relationship Id="rId124" Type="http://schemas.openxmlformats.org/officeDocument/2006/relationships/hyperlink" Target="https://www.linkedin.com/search/results/people/?keywords=Cybernetix%20Ventures%20Investment%20Team%20Cybernetix%20Ventures%20LinkedIn" TargetMode="External"/><Relationship Id="rId366" Type="http://schemas.openxmlformats.org/officeDocument/2006/relationships/hyperlink" Target="https://www.linkedin.com/search/results/people/?keywords=Simon+Franks+angel+investor+robotics+AI+deeptech" TargetMode="External"/><Relationship Id="rId123" Type="http://schemas.openxmlformats.org/officeDocument/2006/relationships/hyperlink" Target="https://www.linkedin.com/search/results/people/?keywords=Mark%20Martin%20Cybernetix%20Ventures%20LinkedIn" TargetMode="External"/><Relationship Id="rId365" Type="http://schemas.openxmlformats.org/officeDocument/2006/relationships/hyperlink" Target="https://shizune.co/investors/angel-investors-united-kingdom" TargetMode="External"/><Relationship Id="rId122" Type="http://schemas.openxmlformats.org/officeDocument/2006/relationships/hyperlink" Target="https://www.linkedin.com/search/results/people/?keywords=Fady%20Saad%20Cybernetix%20Ventures%20LinkedIn" TargetMode="External"/><Relationship Id="rId364" Type="http://schemas.openxmlformats.org/officeDocument/2006/relationships/hyperlink" Target="https://www.linkedin.com/search/results/people/?keywords=Simon+Devonshire+angel+investor+robotics+AI+deeptech" TargetMode="External"/><Relationship Id="rId95" Type="http://schemas.openxmlformats.org/officeDocument/2006/relationships/hyperlink" Target="https://www.linkedin.com/search/results/people/?keywords=Peter%20Pype%20imec.xpand%20LinkedIn" TargetMode="External"/><Relationship Id="rId94" Type="http://schemas.openxmlformats.org/officeDocument/2006/relationships/hyperlink" Target="https://www.linkedin.com/search/results/people/?keywords=Tom%20Vanhoutte%20imec.xpand%20LinkedIn" TargetMode="External"/><Relationship Id="rId97" Type="http://schemas.openxmlformats.org/officeDocument/2006/relationships/hyperlink" Target="https://www.linkedin.com/search/results/people/?keywords=Inka%20Mero%20Voima%20Ventures%20LinkedIn" TargetMode="External"/><Relationship Id="rId96" Type="http://schemas.openxmlformats.org/officeDocument/2006/relationships/hyperlink" Target="https://www.linkedin.com/search/results/people/?keywords=Kathleen%20Philips%20imec.xpand%20LinkedIn" TargetMode="External"/><Relationship Id="rId99" Type="http://schemas.openxmlformats.org/officeDocument/2006/relationships/hyperlink" Target="https://www.linkedin.com/search/results/people/?keywords=Mikko%20Suonenlahti%20Voima%20Ventures%20LinkedIn" TargetMode="External"/><Relationship Id="rId98" Type="http://schemas.openxmlformats.org/officeDocument/2006/relationships/hyperlink" Target="https://www.linkedin.com/search/results/people/?keywords=Tom%20Eriksson%20Voima%20Ventures%20LinkedIn" TargetMode="External"/><Relationship Id="rId91" Type="http://schemas.openxmlformats.org/officeDocument/2006/relationships/hyperlink" Target="https://www.linkedin.com/search/results/people/?keywords=Frank%20van%20de%20Velde%20FORWARD.one%20LinkedIn" TargetMode="External"/><Relationship Id="rId90" Type="http://schemas.openxmlformats.org/officeDocument/2006/relationships/hyperlink" Target="https://www.linkedin.com/search/results/people/?keywords=Joost%20van%20de%20Wijgerd%20FORWARD.one%20LinkedIn" TargetMode="External"/><Relationship Id="rId93" Type="http://schemas.openxmlformats.org/officeDocument/2006/relationships/hyperlink" Target="https://www.linkedin.com/search/results/people/?keywords=Tom%20Van%20de%20Perre%20imec.istart%20LinkedIn" TargetMode="External"/><Relationship Id="rId92" Type="http://schemas.openxmlformats.org/officeDocument/2006/relationships/hyperlink" Target="https://www.linkedin.com/search/results/people/?keywords=Richard%20Oehler%20FORWARD.one%20LinkedIn" TargetMode="External"/><Relationship Id="rId118" Type="http://schemas.openxmlformats.org/officeDocument/2006/relationships/hyperlink" Target="https://www.linkedin.com/search/results/people/?keywords=Kelly%20Chen%20DCVC%20LinkedIn" TargetMode="External"/><Relationship Id="rId117" Type="http://schemas.openxmlformats.org/officeDocument/2006/relationships/hyperlink" Target="https://www.linkedin.com/search/results/people/?keywords=Matt%20Ocko%20DCVC%20LinkedIn" TargetMode="External"/><Relationship Id="rId359" Type="http://schemas.openxmlformats.org/officeDocument/2006/relationships/hyperlink" Target="https://shizune.co/investors/angel-investors-united-kingdom" TargetMode="External"/><Relationship Id="rId116" Type="http://schemas.openxmlformats.org/officeDocument/2006/relationships/hyperlink" Target="https://www.linkedin.com/search/results/people/?keywords=Charly%20Mwangi%20Eclipse%20Ventures%20LinkedIn" TargetMode="External"/><Relationship Id="rId358" Type="http://schemas.openxmlformats.org/officeDocument/2006/relationships/hyperlink" Target="https://www.linkedin.com/search/results/people/?keywords=Serge+Chiaramonte+angel+investor+robotics+AI+deeptech" TargetMode="External"/><Relationship Id="rId115" Type="http://schemas.openxmlformats.org/officeDocument/2006/relationships/hyperlink" Target="https://www.linkedin.com/search/results/people/?keywords=Lior%20Susan%20Eclipse%20Ventures%20LinkedIn" TargetMode="External"/><Relationship Id="rId357" Type="http://schemas.openxmlformats.org/officeDocument/2006/relationships/hyperlink" Target="https://shizune.co/investors/angel-investors-united-kingdom" TargetMode="External"/><Relationship Id="rId599" Type="http://schemas.openxmlformats.org/officeDocument/2006/relationships/hyperlink" Target="https://shizune.co/investors/artificial-intelligence-angel-investors-united-states" TargetMode="External"/><Relationship Id="rId119" Type="http://schemas.openxmlformats.org/officeDocument/2006/relationships/hyperlink" Target="https://www.linkedin.com/search/results/people/?keywords=Josh%20Wolfe%20Lux%20Capital%20LinkedIn" TargetMode="External"/><Relationship Id="rId110" Type="http://schemas.openxmlformats.org/officeDocument/2006/relationships/hyperlink" Target="https://www.linkedin.com/search/results/people/?keywords=Duncan%20Turner%20SOSV%20HAX%20LinkedIn" TargetMode="External"/><Relationship Id="rId352" Type="http://schemas.openxmlformats.org/officeDocument/2006/relationships/hyperlink" Target="https://www.linkedin.com/search/results/people/?keywords=Sam+Enrico+Williams+angel+investor+robotics+AI+deeptech" TargetMode="External"/><Relationship Id="rId594" Type="http://schemas.openxmlformats.org/officeDocument/2006/relationships/hyperlink" Target="https://www.linkedin.com/search/results/people/?keywords=Dylan+Taylor+angel+investor+robotics+AI+deeptech" TargetMode="External"/><Relationship Id="rId351" Type="http://schemas.openxmlformats.org/officeDocument/2006/relationships/hyperlink" Target="https://shizune.co/investors/angel-investors-united-kingdom" TargetMode="External"/><Relationship Id="rId593" Type="http://schemas.openxmlformats.org/officeDocument/2006/relationships/hyperlink" Target="https://shizune.co/investors/hardware-angel-investors-united-states" TargetMode="External"/><Relationship Id="rId350" Type="http://schemas.openxmlformats.org/officeDocument/2006/relationships/hyperlink" Target="https://www.linkedin.com/search/results/people/?keywords=Roxanne+Varza+angel+investor+robotics+AI+deeptech" TargetMode="External"/><Relationship Id="rId592" Type="http://schemas.openxmlformats.org/officeDocument/2006/relationships/hyperlink" Target="https://www.linkedin.com/search/results/people/?keywords=Drew+Baglino+angel+investor+robotics+AI+deeptech" TargetMode="External"/><Relationship Id="rId591" Type="http://schemas.openxmlformats.org/officeDocument/2006/relationships/hyperlink" Target="https://shizune.co/investors/artificial-intelligence-angel-investors-united-states" TargetMode="External"/><Relationship Id="rId114" Type="http://schemas.openxmlformats.org/officeDocument/2006/relationships/hyperlink" Target="https://www.linkedin.com/search/results/people/?keywords=Jory%20Bell%20Playground%20Global%20LinkedIn" TargetMode="External"/><Relationship Id="rId356" Type="http://schemas.openxmlformats.org/officeDocument/2006/relationships/hyperlink" Target="https://www.linkedin.com/search/results/people/?keywords=Saul+Klein+angel+investor+robotics+AI+deeptech" TargetMode="External"/><Relationship Id="rId598" Type="http://schemas.openxmlformats.org/officeDocument/2006/relationships/hyperlink" Target="https://www.linkedin.com/search/results/people/?keywords=Esther+Dyson+angel+investor+robotics+AI+deeptech" TargetMode="External"/><Relationship Id="rId113" Type="http://schemas.openxmlformats.org/officeDocument/2006/relationships/hyperlink" Target="https://www.linkedin.com/search/results/people/?keywords=Peter%20Barrett%20Playground%20Global%20LinkedIn" TargetMode="External"/><Relationship Id="rId355" Type="http://schemas.openxmlformats.org/officeDocument/2006/relationships/hyperlink" Target="https://shizune.co/investors/angel-investors-united-kingdom" TargetMode="External"/><Relationship Id="rId597" Type="http://schemas.openxmlformats.org/officeDocument/2006/relationships/hyperlink" Target="https://shizune.co/investors/artificial-intelligence-angel-investors-united-states" TargetMode="External"/><Relationship Id="rId112" Type="http://schemas.openxmlformats.org/officeDocument/2006/relationships/hyperlink" Target="https://www.linkedin.com/search/results/people/?keywords=Sean%20O%27Sullivan%20SOSV%20HAX%20LinkedIn" TargetMode="External"/><Relationship Id="rId354" Type="http://schemas.openxmlformats.org/officeDocument/2006/relationships/hyperlink" Target="https://www.linkedin.com/search/results/people/?keywords=Sarah+Turner+angel+investor+robotics+AI+deeptech" TargetMode="External"/><Relationship Id="rId596" Type="http://schemas.openxmlformats.org/officeDocument/2006/relationships/hyperlink" Target="https://www.linkedin.com/search/results/people/?keywords=Eric+Schmidt+angel+investor+robotics+AI+deeptech" TargetMode="External"/><Relationship Id="rId111" Type="http://schemas.openxmlformats.org/officeDocument/2006/relationships/hyperlink" Target="https://www.linkedin.com/search/results/people/?keywords=Garrett%20Winther%20SOSV%20HAX%20LinkedIn" TargetMode="External"/><Relationship Id="rId353" Type="http://schemas.openxmlformats.org/officeDocument/2006/relationships/hyperlink" Target="https://shizune.co/investors/angel-investors-united-kingdom" TargetMode="External"/><Relationship Id="rId595" Type="http://schemas.openxmlformats.org/officeDocument/2006/relationships/hyperlink" Target="https://shizune.co/investors/hardware-angel-investors-united-states" TargetMode="External"/><Relationship Id="rId305" Type="http://schemas.openxmlformats.org/officeDocument/2006/relationships/hyperlink" Target="https://shizune.co/investors/angel-investors-united-kingdom" TargetMode="External"/><Relationship Id="rId547" Type="http://schemas.openxmlformats.org/officeDocument/2006/relationships/hyperlink" Target="https://shizune.co/investors/angel-investors-sweden" TargetMode="External"/><Relationship Id="rId789" Type="http://schemas.openxmlformats.org/officeDocument/2006/relationships/hyperlink" Target="https://shizune.co/investors/artificial-intelligence-angel-investors-united-states" TargetMode="External"/><Relationship Id="rId304" Type="http://schemas.openxmlformats.org/officeDocument/2006/relationships/hyperlink" Target="https://www.linkedin.com/search/results/people/?keywords=Mike+Lynch+angel+investor+robotics+AI+deeptech" TargetMode="External"/><Relationship Id="rId546" Type="http://schemas.openxmlformats.org/officeDocument/2006/relationships/hyperlink" Target="https://www.linkedin.com/search/results/people/?keywords=Johan+Brenner+angel+investor+robotics+AI+deeptech" TargetMode="External"/><Relationship Id="rId788" Type="http://schemas.openxmlformats.org/officeDocument/2006/relationships/hyperlink" Target="https://www.linkedin.com/search/results/people/?keywords=Garry+Tan+angel+investor+robotics+AI+deeptech" TargetMode="External"/><Relationship Id="rId303" Type="http://schemas.openxmlformats.org/officeDocument/2006/relationships/hyperlink" Target="https://shizune.co/investors/angel-investors-united-kingdom" TargetMode="External"/><Relationship Id="rId545" Type="http://schemas.openxmlformats.org/officeDocument/2006/relationships/hyperlink" Target="https://shizune.co/investors/angel-investors-sweden" TargetMode="External"/><Relationship Id="rId787" Type="http://schemas.openxmlformats.org/officeDocument/2006/relationships/hyperlink" Target="https://shizune.co/investors/artificial-intelligence-angel-investors-united-states" TargetMode="External"/><Relationship Id="rId302" Type="http://schemas.openxmlformats.org/officeDocument/2006/relationships/hyperlink" Target="https://www.linkedin.com/search/results/people/?keywords=Michele+Attisani+angel+investor+robotics+AI+deeptech" TargetMode="External"/><Relationship Id="rId544" Type="http://schemas.openxmlformats.org/officeDocument/2006/relationships/hyperlink" Target="https://www.linkedin.com/search/results/people/?keywords=Jessica+Schultz+angel+investor+robotics+AI+deeptech" TargetMode="External"/><Relationship Id="rId786" Type="http://schemas.openxmlformats.org/officeDocument/2006/relationships/hyperlink" Target="https://www.linkedin.com/search/results/people/?keywords=Frederic+Kerrest+angel+investor+robotics+AI+deeptech" TargetMode="External"/><Relationship Id="rId309" Type="http://schemas.openxmlformats.org/officeDocument/2006/relationships/hyperlink" Target="https://shizune.co/investors/angel-investors-united-kingdom" TargetMode="External"/><Relationship Id="rId308" Type="http://schemas.openxmlformats.org/officeDocument/2006/relationships/hyperlink" Target="https://www.linkedin.com/search/results/people/?keywords=Neil+Rimer+angel+investor+robotics+AI+deeptech" TargetMode="External"/><Relationship Id="rId307" Type="http://schemas.openxmlformats.org/officeDocument/2006/relationships/hyperlink" Target="https://shizune.co/investors/angel-investors-united-kingdom" TargetMode="External"/><Relationship Id="rId549" Type="http://schemas.openxmlformats.org/officeDocument/2006/relationships/hyperlink" Target="https://shizune.co/investors/angel-investors-sweden" TargetMode="External"/><Relationship Id="rId306" Type="http://schemas.openxmlformats.org/officeDocument/2006/relationships/hyperlink" Target="https://www.linkedin.com/search/results/people/?keywords=Nadav+Ben-Chanoch+angel+investor+robotics+AI+deeptech" TargetMode="External"/><Relationship Id="rId548" Type="http://schemas.openxmlformats.org/officeDocument/2006/relationships/hyperlink" Target="https://www.linkedin.com/search/results/people/?keywords=Martin+Lorentzon+angel+investor+robotics+AI+deeptech" TargetMode="External"/><Relationship Id="rId781" Type="http://schemas.openxmlformats.org/officeDocument/2006/relationships/hyperlink" Target="https://shizune.co/investors/artificial-intelligence-angel-investors-united-states" TargetMode="External"/><Relationship Id="rId780" Type="http://schemas.openxmlformats.org/officeDocument/2006/relationships/hyperlink" Target="https://www.linkedin.com/search/results/people/?keywords=Fabrice+Grinda+angel+investor+robotics+AI+deeptech" TargetMode="External"/><Relationship Id="rId301" Type="http://schemas.openxmlformats.org/officeDocument/2006/relationships/hyperlink" Target="https://shizune.co/investors/angel-investors-united-kingdom" TargetMode="External"/><Relationship Id="rId543" Type="http://schemas.openxmlformats.org/officeDocument/2006/relationships/hyperlink" Target="https://shizune.co/investors/angel-investors-sweden" TargetMode="External"/><Relationship Id="rId785" Type="http://schemas.openxmlformats.org/officeDocument/2006/relationships/hyperlink" Target="https://shizune.co/investors/artificial-intelligence-angel-investors-united-states" TargetMode="External"/><Relationship Id="rId300" Type="http://schemas.openxmlformats.org/officeDocument/2006/relationships/hyperlink" Target="https://www.linkedin.com/search/results/people/?keywords=Michael+Pennington+angel+investor+robotics+AI+deeptech" TargetMode="External"/><Relationship Id="rId542" Type="http://schemas.openxmlformats.org/officeDocument/2006/relationships/hyperlink" Target="https://www.linkedin.com/search/results/people/?keywords=Jane+Walerud+angel+investor+robotics+AI+deeptech" TargetMode="External"/><Relationship Id="rId784" Type="http://schemas.openxmlformats.org/officeDocument/2006/relationships/hyperlink" Target="https://www.linkedin.com/search/results/people/?keywords=Florian+Leibert+angel+investor+robotics+AI+deeptech" TargetMode="External"/><Relationship Id="rId541" Type="http://schemas.openxmlformats.org/officeDocument/2006/relationships/hyperlink" Target="https://shizune.co/investors/angel-investors-sweden" TargetMode="External"/><Relationship Id="rId783" Type="http://schemas.openxmlformats.org/officeDocument/2006/relationships/hyperlink" Target="https://shizune.co/investors/artificial-intelligence-angel-investors-united-states" TargetMode="External"/><Relationship Id="rId540" Type="http://schemas.openxmlformats.org/officeDocument/2006/relationships/hyperlink" Target="https://www.linkedin.com/search/results/people/?keywords=Jacob+de+Geer+angel+investor+robotics+AI+deeptech" TargetMode="External"/><Relationship Id="rId782" Type="http://schemas.openxmlformats.org/officeDocument/2006/relationships/hyperlink" Target="https://www.linkedin.com/search/results/people/?keywords=Farzad+Nazem+angel+investor+robotics+AI+deeptech" TargetMode="External"/><Relationship Id="rId536" Type="http://schemas.openxmlformats.org/officeDocument/2006/relationships/hyperlink" Target="https://www.linkedin.com/search/results/people/?keywords=Henrik+Persson+angel+investor+robotics+AI+deeptech" TargetMode="External"/><Relationship Id="rId778" Type="http://schemas.openxmlformats.org/officeDocument/2006/relationships/hyperlink" Target="https://www.linkedin.com/search/results/people/?keywords=Eoghan+McCabe+angel+investor+robotics+AI+deeptech" TargetMode="External"/><Relationship Id="rId535" Type="http://schemas.openxmlformats.org/officeDocument/2006/relationships/hyperlink" Target="https://shizune.co/investors/angel-investors-sweden" TargetMode="External"/><Relationship Id="rId777" Type="http://schemas.openxmlformats.org/officeDocument/2006/relationships/hyperlink" Target="https://shizune.co/investors/artificial-intelligence-angel-investors-united-states" TargetMode="External"/><Relationship Id="rId534" Type="http://schemas.openxmlformats.org/officeDocument/2006/relationships/hyperlink" Target="https://www.linkedin.com/search/results/people/?keywords=Hampus+Jakobsson+angel+investor+robotics+AI+deeptech" TargetMode="External"/><Relationship Id="rId776" Type="http://schemas.openxmlformats.org/officeDocument/2006/relationships/hyperlink" Target="https://www.linkedin.com/search/results/people/?keywords=Emmett+Shear+angel+investor+robotics+AI+deeptech" TargetMode="External"/><Relationship Id="rId533" Type="http://schemas.openxmlformats.org/officeDocument/2006/relationships/hyperlink" Target="https://shizune.co/investors/hardware-angel-investors" TargetMode="External"/><Relationship Id="rId775" Type="http://schemas.openxmlformats.org/officeDocument/2006/relationships/hyperlink" Target="https://shizune.co/investors/artificial-intelligence-angel-investors-united-states" TargetMode="External"/><Relationship Id="rId539" Type="http://schemas.openxmlformats.org/officeDocument/2006/relationships/hyperlink" Target="https://shizune.co/investors/angel-investors-sweden" TargetMode="External"/><Relationship Id="rId538" Type="http://schemas.openxmlformats.org/officeDocument/2006/relationships/hyperlink" Target="https://www.linkedin.com/search/results/people/?keywords=Hjalmar+Winbladh+angel+investor+robotics+AI+deeptech" TargetMode="External"/><Relationship Id="rId537" Type="http://schemas.openxmlformats.org/officeDocument/2006/relationships/hyperlink" Target="https://shizune.co/investors/angel-investors-sweden" TargetMode="External"/><Relationship Id="rId779" Type="http://schemas.openxmlformats.org/officeDocument/2006/relationships/hyperlink" Target="https://shizune.co/investors/artificial-intelligence-angel-investors-united-states" TargetMode="External"/><Relationship Id="rId770" Type="http://schemas.openxmlformats.org/officeDocument/2006/relationships/hyperlink" Target="https://www.linkedin.com/search/results/people/?keywords=Dustin+Moskovitz+angel+investor+robotics+AI+deeptech" TargetMode="External"/><Relationship Id="rId532" Type="http://schemas.openxmlformats.org/officeDocument/2006/relationships/hyperlink" Target="https://www.linkedin.com/search/results/people/?keywords=Gustaf+Hagman+angel+investor+robotics+AI+deeptech" TargetMode="External"/><Relationship Id="rId774" Type="http://schemas.openxmlformats.org/officeDocument/2006/relationships/hyperlink" Target="https://www.linkedin.com/search/results/people/?keywords=Elad+Gil+angel+investor+robotics+AI+deeptech" TargetMode="External"/><Relationship Id="rId531" Type="http://schemas.openxmlformats.org/officeDocument/2006/relationships/hyperlink" Target="https://shizune.co/investors/angel-investors-sweden" TargetMode="External"/><Relationship Id="rId773" Type="http://schemas.openxmlformats.org/officeDocument/2006/relationships/hyperlink" Target="https://shizune.co/investors/artificial-intelligence-angel-investors-united-states" TargetMode="External"/><Relationship Id="rId530" Type="http://schemas.openxmlformats.org/officeDocument/2006/relationships/hyperlink" Target="https://www.linkedin.com/search/results/people/?keywords=Daniel+Ek+angel+investor+robotics+AI+deeptech" TargetMode="External"/><Relationship Id="rId772" Type="http://schemas.openxmlformats.org/officeDocument/2006/relationships/hyperlink" Target="https://www.linkedin.com/search/results/people/?keywords=Dylan+Field+angel+investor+robotics+AI+deeptech" TargetMode="External"/><Relationship Id="rId771" Type="http://schemas.openxmlformats.org/officeDocument/2006/relationships/hyperlink" Target="https://shizune.co/investors/artificial-intelligence-angel-investors-united-states" TargetMode="External"/><Relationship Id="rId327" Type="http://schemas.openxmlformats.org/officeDocument/2006/relationships/hyperlink" Target="https://shizune.co/investors/angel-investors-united-kingdom" TargetMode="External"/><Relationship Id="rId569" Type="http://schemas.openxmlformats.org/officeDocument/2006/relationships/hyperlink" Target="https://shizune.co/investors/angel-investors-austria" TargetMode="External"/><Relationship Id="rId326" Type="http://schemas.openxmlformats.org/officeDocument/2006/relationships/hyperlink" Target="https://www.linkedin.com/search/results/people/?keywords=Paul+Heywood+angel+investor+robotics+AI+deeptech" TargetMode="External"/><Relationship Id="rId568" Type="http://schemas.openxmlformats.org/officeDocument/2006/relationships/hyperlink" Target="https://www.linkedin.com/search/results/people/?keywords=Runtastic+founders+angel+investor+robotics+AI+deeptech" TargetMode="External"/><Relationship Id="rId325" Type="http://schemas.openxmlformats.org/officeDocument/2006/relationships/hyperlink" Target="https://shizune.co/investors/angel-investors-united-kingdom" TargetMode="External"/><Relationship Id="rId567" Type="http://schemas.openxmlformats.org/officeDocument/2006/relationships/hyperlink" Target="https://shizune.co/investors/hardware-angel-investors" TargetMode="External"/><Relationship Id="rId324" Type="http://schemas.openxmlformats.org/officeDocument/2006/relationships/hyperlink" Target="https://www.linkedin.com/search/results/people/?keywords=Paul+Forster+angel+investor+robotics+AI+deeptech" TargetMode="External"/><Relationship Id="rId566" Type="http://schemas.openxmlformats.org/officeDocument/2006/relationships/hyperlink" Target="https://www.linkedin.com/search/results/people/?keywords=Xavier+Niel+angel+investor+robotics+AI+deeptech" TargetMode="External"/><Relationship Id="rId329" Type="http://schemas.openxmlformats.org/officeDocument/2006/relationships/hyperlink" Target="https://shizune.co/investors/angel-investors-united-kingdom" TargetMode="External"/><Relationship Id="rId328" Type="http://schemas.openxmlformats.org/officeDocument/2006/relationships/hyperlink" Target="https://www.linkedin.com/search/results/people/?keywords=Peter+Cowley+angel+investor+robotics+AI+deeptech" TargetMode="External"/><Relationship Id="rId561" Type="http://schemas.openxmlformats.org/officeDocument/2006/relationships/hyperlink" Target="https://shizune.co/investors/angel-investors-sweden" TargetMode="External"/><Relationship Id="rId560" Type="http://schemas.openxmlformats.org/officeDocument/2006/relationships/hyperlink" Target="https://www.linkedin.com/search/results/people/?keywords=Ted+Persson+angel+investor+robotics+AI+deeptech" TargetMode="External"/><Relationship Id="rId323" Type="http://schemas.openxmlformats.org/officeDocument/2006/relationships/hyperlink" Target="https://shizune.co/investors/angel-investors-united-kingdom" TargetMode="External"/><Relationship Id="rId565" Type="http://schemas.openxmlformats.org/officeDocument/2006/relationships/hyperlink" Target="https://shizune.co/investors/angel-investors-france" TargetMode="External"/><Relationship Id="rId322" Type="http://schemas.openxmlformats.org/officeDocument/2006/relationships/hyperlink" Target="https://www.linkedin.com/search/results/people/?keywords=Paul+Birch+angel+investor+robotics+AI+deeptech" TargetMode="External"/><Relationship Id="rId564" Type="http://schemas.openxmlformats.org/officeDocument/2006/relationships/hyperlink" Target="https://www.linkedin.com/search/results/people/?keywords=Kima+Ventures+partners+angel+investor+robotics+AI+deeptech" TargetMode="External"/><Relationship Id="rId321" Type="http://schemas.openxmlformats.org/officeDocument/2006/relationships/hyperlink" Target="https://shizune.co/investors/angel-investors-united-kingdom" TargetMode="External"/><Relationship Id="rId563" Type="http://schemas.openxmlformats.org/officeDocument/2006/relationships/hyperlink" Target="https://shizune.co/investors/angel-investors-sweden" TargetMode="External"/><Relationship Id="rId320" Type="http://schemas.openxmlformats.org/officeDocument/2006/relationships/hyperlink" Target="https://www.linkedin.com/search/results/people/?keywords=Omid+Ashtari+angel+investor+robotics+AI+deeptech" TargetMode="External"/><Relationship Id="rId562" Type="http://schemas.openxmlformats.org/officeDocument/2006/relationships/hyperlink" Target="https://www.linkedin.com/search/results/people/?keywords=Tommy+Palm+angel+investor+robotics+AI+deeptech" TargetMode="External"/><Relationship Id="rId316" Type="http://schemas.openxmlformats.org/officeDocument/2006/relationships/hyperlink" Target="https://www.linkedin.com/search/results/people/?keywords=Niklas+Zennstr%C3%B6m+angel+investor+robotics+AI+deeptech" TargetMode="External"/><Relationship Id="rId558" Type="http://schemas.openxmlformats.org/officeDocument/2006/relationships/hyperlink" Target="https://www.linkedin.com/search/results/people/?keywords=Sofia+Bendz+angel+investor+robotics+AI+deeptech" TargetMode="External"/><Relationship Id="rId315" Type="http://schemas.openxmlformats.org/officeDocument/2006/relationships/hyperlink" Target="https://shizune.co/investors/angel-investors-united-kingdom" TargetMode="External"/><Relationship Id="rId557" Type="http://schemas.openxmlformats.org/officeDocument/2006/relationships/hyperlink" Target="https://shizune.co/investors/angel-investors-sweden" TargetMode="External"/><Relationship Id="rId799" Type="http://schemas.openxmlformats.org/officeDocument/2006/relationships/hyperlink" Target="https://shizune.co/investors/artificial-intelligence-angel-investors-united-states" TargetMode="External"/><Relationship Id="rId314" Type="http://schemas.openxmlformats.org/officeDocument/2006/relationships/hyperlink" Target="https://www.linkedin.com/search/results/people/?keywords=Nigel+Wray+angel+investor+robotics+AI+deeptech" TargetMode="External"/><Relationship Id="rId556" Type="http://schemas.openxmlformats.org/officeDocument/2006/relationships/hyperlink" Target="https://www.linkedin.com/search/results/people/?keywords=Sebastian+Siemiatkowski+angel+investor+robotics+AI+deeptech" TargetMode="External"/><Relationship Id="rId798" Type="http://schemas.openxmlformats.org/officeDocument/2006/relationships/hyperlink" Target="https://www.linkedin.com/search/results/people/?keywords=Howie+Liu+angel+investor+robotics+AI+deeptech" TargetMode="External"/><Relationship Id="rId313" Type="http://schemas.openxmlformats.org/officeDocument/2006/relationships/hyperlink" Target="https://shizune.co/investors/angel-investors-united-kingdom" TargetMode="External"/><Relationship Id="rId555" Type="http://schemas.openxmlformats.org/officeDocument/2006/relationships/hyperlink" Target="https://shizune.co/investors/angel-investors-sweden" TargetMode="External"/><Relationship Id="rId797" Type="http://schemas.openxmlformats.org/officeDocument/2006/relationships/hyperlink" Target="https://shizune.co/investors/artificial-intelligence-angel-investors-united-states" TargetMode="External"/><Relationship Id="rId319" Type="http://schemas.openxmlformats.org/officeDocument/2006/relationships/hyperlink" Target="https://shizune.co/investors/angel-investors-united-kingdom" TargetMode="External"/><Relationship Id="rId318" Type="http://schemas.openxmlformats.org/officeDocument/2006/relationships/hyperlink" Target="https://www.linkedin.com/search/results/people/?keywords=Olivier+Pomel+angel+investor+robotics+AI+deeptech" TargetMode="External"/><Relationship Id="rId317" Type="http://schemas.openxmlformats.org/officeDocument/2006/relationships/hyperlink" Target="https://shizune.co/investors/angel-investors-united-kingdom" TargetMode="External"/><Relationship Id="rId559" Type="http://schemas.openxmlformats.org/officeDocument/2006/relationships/hyperlink" Target="https://shizune.co/investors/angel-investors-sweden" TargetMode="External"/><Relationship Id="rId550" Type="http://schemas.openxmlformats.org/officeDocument/2006/relationships/hyperlink" Target="https://www.linkedin.com/search/results/people/?keywords=Niklas+%C3%96stberg+angel+investor+robotics+AI+deeptech" TargetMode="External"/><Relationship Id="rId792" Type="http://schemas.openxmlformats.org/officeDocument/2006/relationships/hyperlink" Target="https://www.linkedin.com/search/results/people/?keywords=Greg+Brockman+angel+investor+robotics+AI+deeptech" TargetMode="External"/><Relationship Id="rId791" Type="http://schemas.openxmlformats.org/officeDocument/2006/relationships/hyperlink" Target="https://shizune.co/investors/artificial-intelligence-angel-investors-united-states" TargetMode="External"/><Relationship Id="rId790" Type="http://schemas.openxmlformats.org/officeDocument/2006/relationships/hyperlink" Target="https://www.linkedin.com/search/results/people/?keywords=Gil+Penchina+angel+investor+robotics+AI+deeptech" TargetMode="External"/><Relationship Id="rId312" Type="http://schemas.openxmlformats.org/officeDocument/2006/relationships/hyperlink" Target="https://www.linkedin.com/search/results/people/?keywords=Nick+Telson-Sillett+angel+investor+robotics+AI+deeptech" TargetMode="External"/><Relationship Id="rId554" Type="http://schemas.openxmlformats.org/officeDocument/2006/relationships/hyperlink" Target="https://www.linkedin.com/search/results/people/?keywords=Sebastian+Knutsson+angel+investor+robotics+AI+deeptech" TargetMode="External"/><Relationship Id="rId796" Type="http://schemas.openxmlformats.org/officeDocument/2006/relationships/hyperlink" Target="https://www.linkedin.com/search/results/people/?keywords=Hadi+Partovi+angel+investor+robotics+AI+deeptech" TargetMode="External"/><Relationship Id="rId311" Type="http://schemas.openxmlformats.org/officeDocument/2006/relationships/hyperlink" Target="https://shizune.co/investors/angel-investors-united-kingdom" TargetMode="External"/><Relationship Id="rId553" Type="http://schemas.openxmlformats.org/officeDocument/2006/relationships/hyperlink" Target="https://shizune.co/investors/angel-investors-sweden" TargetMode="External"/><Relationship Id="rId795" Type="http://schemas.openxmlformats.org/officeDocument/2006/relationships/hyperlink" Target="https://shizune.co/investors/artificial-intelligence-angel-investors-united-states" TargetMode="External"/><Relationship Id="rId310" Type="http://schemas.openxmlformats.org/officeDocument/2006/relationships/hyperlink" Target="https://www.linkedin.com/search/results/people/?keywords=Nic+Brisbourne+angel+investor+robotics+AI+deeptech" TargetMode="External"/><Relationship Id="rId552" Type="http://schemas.openxmlformats.org/officeDocument/2006/relationships/hyperlink" Target="https://www.linkedin.com/search/results/people/?keywords=P%C3%A4r-J%C3%B6rgen+P%C3%A4rson+angel+investor+robotics+AI+deeptech" TargetMode="External"/><Relationship Id="rId794" Type="http://schemas.openxmlformats.org/officeDocument/2006/relationships/hyperlink" Target="https://www.linkedin.com/search/results/people/?keywords=Guillermo+Rauch+angel+investor+robotics+AI+deeptech" TargetMode="External"/><Relationship Id="rId551" Type="http://schemas.openxmlformats.org/officeDocument/2006/relationships/hyperlink" Target="https://shizune.co/investors/angel-investors-sweden" TargetMode="External"/><Relationship Id="rId793" Type="http://schemas.openxmlformats.org/officeDocument/2006/relationships/hyperlink" Target="https://shizune.co/investors/artificial-intelligence-angel-investors-united-states" TargetMode="External"/><Relationship Id="rId297" Type="http://schemas.openxmlformats.org/officeDocument/2006/relationships/hyperlink" Target="https://shizune.co/investors/angel-investors-united-kingdom" TargetMode="External"/><Relationship Id="rId296" Type="http://schemas.openxmlformats.org/officeDocument/2006/relationships/hyperlink" Target="https://www.linkedin.com/search/results/people/?keywords=Matt+Robinson+angel+investor+robotics+AI+deeptech" TargetMode="External"/><Relationship Id="rId295" Type="http://schemas.openxmlformats.org/officeDocument/2006/relationships/hyperlink" Target="https://shizune.co/investors/angel-investors-united-kingdom" TargetMode="External"/><Relationship Id="rId294" Type="http://schemas.openxmlformats.org/officeDocument/2006/relationships/hyperlink" Target="https://www.linkedin.com/search/results/people/?keywords=Mati+Staniszewski+angel+investor+robotics+AI+deeptech" TargetMode="External"/><Relationship Id="rId299" Type="http://schemas.openxmlformats.org/officeDocument/2006/relationships/hyperlink" Target="https://shizune.co/investors/angel-investors-united-kingdom" TargetMode="External"/><Relationship Id="rId298" Type="http://schemas.openxmlformats.org/officeDocument/2006/relationships/hyperlink" Target="https://www.linkedin.com/search/results/people/?keywords=Michael+Bristow+angel+investor+robotics+AI+deeptech" TargetMode="External"/><Relationship Id="rId271" Type="http://schemas.openxmlformats.org/officeDocument/2006/relationships/hyperlink" Target="https://shizune.co/investors/angel-investors-united-kingdom" TargetMode="External"/><Relationship Id="rId270" Type="http://schemas.openxmlformats.org/officeDocument/2006/relationships/hyperlink" Target="https://www.linkedin.com/search/results/people/?keywords=Jan+Hammer+angel+investor+robotics+AI+deeptech" TargetMode="External"/><Relationship Id="rId269" Type="http://schemas.openxmlformats.org/officeDocument/2006/relationships/hyperlink" Target="https://shizune.co/investors/angel-investors-united-kingdom" TargetMode="External"/><Relationship Id="rId264" Type="http://schemas.openxmlformats.org/officeDocument/2006/relationships/hyperlink" Target="https://www.linkedin.com/search/results/people/?keywords=Ilkka+Paananen+angel+investor+robotics+AI+deeptech" TargetMode="External"/><Relationship Id="rId263" Type="http://schemas.openxmlformats.org/officeDocument/2006/relationships/hyperlink" Target="https://shizune.co/investors/angel-investors-united-kingdom" TargetMode="External"/><Relationship Id="rId262" Type="http://schemas.openxmlformats.org/officeDocument/2006/relationships/hyperlink" Target="https://www.linkedin.com/search/results/people/?keywords=Ian+Marchant+angel+investor+robotics+AI+deeptech" TargetMode="External"/><Relationship Id="rId261" Type="http://schemas.openxmlformats.org/officeDocument/2006/relationships/hyperlink" Target="https://shizune.co/investors/angel-investors-united-kingdom" TargetMode="External"/><Relationship Id="rId268" Type="http://schemas.openxmlformats.org/officeDocument/2006/relationships/hyperlink" Target="https://www.linkedin.com/search/results/people/?keywords=James+Wise+angel+investor+robotics+AI+deeptech" TargetMode="External"/><Relationship Id="rId267" Type="http://schemas.openxmlformats.org/officeDocument/2006/relationships/hyperlink" Target="https://shizune.co/investors/angel-investors-united-kingdom" TargetMode="External"/><Relationship Id="rId266" Type="http://schemas.openxmlformats.org/officeDocument/2006/relationships/hyperlink" Target="https://www.linkedin.com/search/results/people/?keywords=Jaan+Tallinn+angel+investor+robotics+AI+deeptech" TargetMode="External"/><Relationship Id="rId265" Type="http://schemas.openxmlformats.org/officeDocument/2006/relationships/hyperlink" Target="https://shizune.co/investors/angel-investors-united-kingdom" TargetMode="External"/><Relationship Id="rId260" Type="http://schemas.openxmlformats.org/officeDocument/2006/relationships/hyperlink" Target="https://www.linkedin.com/search/results/people/?keywords=Ian+Hogarth+angel+investor+robotics+AI+deeptech" TargetMode="External"/><Relationship Id="rId259" Type="http://schemas.openxmlformats.org/officeDocument/2006/relationships/hyperlink" Target="https://shizune.co/investors/angel-investors-united-kingdom" TargetMode="External"/><Relationship Id="rId258" Type="http://schemas.openxmlformats.org/officeDocument/2006/relationships/hyperlink" Target="https://www.linkedin.com/search/results/people/?keywords=Hermann+Hauser+angel+investor+robotics+AI+deeptech" TargetMode="External"/><Relationship Id="rId253" Type="http://schemas.openxmlformats.org/officeDocument/2006/relationships/hyperlink" Target="https://shizune.co/investors/angel-investors-united-kingdom" TargetMode="External"/><Relationship Id="rId495" Type="http://schemas.openxmlformats.org/officeDocument/2006/relationships/hyperlink" Target="https://shizune.co/investors/angel-investors-germany" TargetMode="External"/><Relationship Id="rId252" Type="http://schemas.openxmlformats.org/officeDocument/2006/relationships/hyperlink" Target="https://www.linkedin.com/search/results/people/?keywords=Felix+Jahn+angel+investor+robotics+AI+deeptech" TargetMode="External"/><Relationship Id="rId494" Type="http://schemas.openxmlformats.org/officeDocument/2006/relationships/hyperlink" Target="https://www.linkedin.com/search/results/people/?keywords=Oliver+Samwer+angel+investor+robotics+AI+deeptech" TargetMode="External"/><Relationship Id="rId251" Type="http://schemas.openxmlformats.org/officeDocument/2006/relationships/hyperlink" Target="https://shizune.co/investors/angel-investors-united-kingdom" TargetMode="External"/><Relationship Id="rId493" Type="http://schemas.openxmlformats.org/officeDocument/2006/relationships/hyperlink" Target="https://shizune.co/investors/angel-investors-germany" TargetMode="External"/><Relationship Id="rId250" Type="http://schemas.openxmlformats.org/officeDocument/2006/relationships/hyperlink" Target="https://www.linkedin.com/search/results/people/?keywords=Errol+Damelin+angel+investor+robotics+AI+deeptech" TargetMode="External"/><Relationship Id="rId492" Type="http://schemas.openxmlformats.org/officeDocument/2006/relationships/hyperlink" Target="https://www.linkedin.com/search/results/people/?keywords=Max+Viessmann+angel+investor+robotics+AI+deeptech" TargetMode="External"/><Relationship Id="rId257" Type="http://schemas.openxmlformats.org/officeDocument/2006/relationships/hyperlink" Target="https://shizune.co/investors/angel-investors-united-kingdom" TargetMode="External"/><Relationship Id="rId499" Type="http://schemas.openxmlformats.org/officeDocument/2006/relationships/hyperlink" Target="https://shizune.co/investors/angel-investors-germany" TargetMode="External"/><Relationship Id="rId256" Type="http://schemas.openxmlformats.org/officeDocument/2006/relationships/hyperlink" Target="https://www.linkedin.com/search/results/people/?keywords=Harry+Stebbings+angel+investor+robotics+AI+deeptech" TargetMode="External"/><Relationship Id="rId498" Type="http://schemas.openxmlformats.org/officeDocument/2006/relationships/hyperlink" Target="https://www.linkedin.com/search/results/people/?keywords=Robert+Gentz+angel+investor+robotics+AI+deeptech" TargetMode="External"/><Relationship Id="rId255" Type="http://schemas.openxmlformats.org/officeDocument/2006/relationships/hyperlink" Target="https://shizune.co/investors/angel-investors-united-kingdom" TargetMode="External"/><Relationship Id="rId497" Type="http://schemas.openxmlformats.org/officeDocument/2006/relationships/hyperlink" Target="https://shizune.co/investors/angel-investors-germany" TargetMode="External"/><Relationship Id="rId254" Type="http://schemas.openxmlformats.org/officeDocument/2006/relationships/hyperlink" Target="https://www.linkedin.com/search/results/people/?keywords=Gareth+Williams+angel+investor+robotics+AI+deeptech" TargetMode="External"/><Relationship Id="rId496" Type="http://schemas.openxmlformats.org/officeDocument/2006/relationships/hyperlink" Target="https://www.linkedin.com/search/results/people/?keywords=Philipp+Westermeyer+angel+investor+robotics+AI+deeptech" TargetMode="External"/><Relationship Id="rId293" Type="http://schemas.openxmlformats.org/officeDocument/2006/relationships/hyperlink" Target="https://shizune.co/investors/angel-investors-united-kingdom" TargetMode="External"/><Relationship Id="rId292" Type="http://schemas.openxmlformats.org/officeDocument/2006/relationships/hyperlink" Target="https://www.linkedin.com/search/results/people/?keywords=Martha+Lane+Fox+angel+investor+robotics+AI+deeptech" TargetMode="External"/><Relationship Id="rId291" Type="http://schemas.openxmlformats.org/officeDocument/2006/relationships/hyperlink" Target="https://shizune.co/investors/angel-investors-united-kingdom" TargetMode="External"/><Relationship Id="rId290" Type="http://schemas.openxmlformats.org/officeDocument/2006/relationships/hyperlink" Target="https://www.linkedin.com/search/results/people/?keywords=Mark+Ransford+angel+investor+robotics+AI+deeptech" TargetMode="External"/><Relationship Id="rId286" Type="http://schemas.openxmlformats.org/officeDocument/2006/relationships/hyperlink" Target="https://www.linkedin.com/search/results/people/?keywords=Mads+Jensen+angel+investor+robotics+AI+deeptech" TargetMode="External"/><Relationship Id="rId285" Type="http://schemas.openxmlformats.org/officeDocument/2006/relationships/hyperlink" Target="https://shizune.co/investors/angel-investors-united-kingdom" TargetMode="External"/><Relationship Id="rId284" Type="http://schemas.openxmlformats.org/officeDocument/2006/relationships/hyperlink" Target="https://www.linkedin.com/search/results/people/?keywords=Madalina+Suceveanu+angel+investor+robotics+AI+deeptech" TargetMode="External"/><Relationship Id="rId283" Type="http://schemas.openxmlformats.org/officeDocument/2006/relationships/hyperlink" Target="https://shizune.co/investors/angel-investors-united-kingdom" TargetMode="External"/><Relationship Id="rId289" Type="http://schemas.openxmlformats.org/officeDocument/2006/relationships/hyperlink" Target="https://shizune.co/investors/angel-investors-united-kingdom" TargetMode="External"/><Relationship Id="rId288" Type="http://schemas.openxmlformats.org/officeDocument/2006/relationships/hyperlink" Target="https://www.linkedin.com/search/results/people/?keywords=Mandeep+Singh+angel+investor+robotics+AI+deeptech" TargetMode="External"/><Relationship Id="rId287" Type="http://schemas.openxmlformats.org/officeDocument/2006/relationships/hyperlink" Target="https://shizune.co/investors/angel-investors-united-kingdom" TargetMode="External"/><Relationship Id="rId282" Type="http://schemas.openxmlformats.org/officeDocument/2006/relationships/hyperlink" Target="https://www.linkedin.com/search/results/people/?keywords=Luca+Ascani+angel+investor+robotics+AI+deeptech" TargetMode="External"/><Relationship Id="rId281" Type="http://schemas.openxmlformats.org/officeDocument/2006/relationships/hyperlink" Target="https://shizune.co/investors/angel-investors-united-kingdom" TargetMode="External"/><Relationship Id="rId280" Type="http://schemas.openxmlformats.org/officeDocument/2006/relationships/hyperlink" Target="https://www.linkedin.com/search/results/people/?keywords=Lorenz+Bogaert+angel+investor+robotics+AI+deeptech" TargetMode="External"/><Relationship Id="rId275" Type="http://schemas.openxmlformats.org/officeDocument/2006/relationships/hyperlink" Target="https://shizune.co/investors/angel-investors-united-kingdom" TargetMode="External"/><Relationship Id="rId274" Type="http://schemas.openxmlformats.org/officeDocument/2006/relationships/hyperlink" Target="https://www.linkedin.com/search/results/people/?keywords=John+Spindler+angel+investor+robotics+AI+deeptech" TargetMode="External"/><Relationship Id="rId273" Type="http://schemas.openxmlformats.org/officeDocument/2006/relationships/hyperlink" Target="https://shizune.co/investors/angel-investors-united-kingdom" TargetMode="External"/><Relationship Id="rId272" Type="http://schemas.openxmlformats.org/officeDocument/2006/relationships/hyperlink" Target="https://www.linkedin.com/search/results/people/?keywords=Jeremy+Yap+angel+investor+robotics+AI+deeptech" TargetMode="External"/><Relationship Id="rId279" Type="http://schemas.openxmlformats.org/officeDocument/2006/relationships/hyperlink" Target="https://shizune.co/investors/angel-investors-united-kingdom" TargetMode="External"/><Relationship Id="rId278" Type="http://schemas.openxmlformats.org/officeDocument/2006/relationships/hyperlink" Target="https://www.linkedin.com/search/results/people/?keywords=Jonathan+Milner+angel+investor+robotics+AI+deeptech" TargetMode="External"/><Relationship Id="rId277" Type="http://schemas.openxmlformats.org/officeDocument/2006/relationships/hyperlink" Target="https://shizune.co/investors/angel-investors-united-kingdom" TargetMode="External"/><Relationship Id="rId276" Type="http://schemas.openxmlformats.org/officeDocument/2006/relationships/hyperlink" Target="https://www.linkedin.com/search/results/people/?keywords=Jon+Oringer+angel+investor+robotics+AI+deeptech" TargetMode="External"/><Relationship Id="rId907" Type="http://schemas.openxmlformats.org/officeDocument/2006/relationships/hyperlink" Target="https://shizune.co/investors/artificial-intelligence-angel-investors-united-states" TargetMode="External"/><Relationship Id="rId906" Type="http://schemas.openxmlformats.org/officeDocument/2006/relationships/hyperlink" Target="https://www.linkedin.com/search/results/people/?keywords=Ron+Conway+angel+investor+robotics+AI+deeptech" TargetMode="External"/><Relationship Id="rId905" Type="http://schemas.openxmlformats.org/officeDocument/2006/relationships/hyperlink" Target="https://shizune.co/investors/artificial-intelligence-angel-investors-united-states" TargetMode="External"/><Relationship Id="rId904" Type="http://schemas.openxmlformats.org/officeDocument/2006/relationships/hyperlink" Target="https://www.linkedin.com/search/results/people/?keywords=Roman+Smolevskiy+angel+investor+robotics+AI+deeptech" TargetMode="External"/><Relationship Id="rId909" Type="http://schemas.openxmlformats.org/officeDocument/2006/relationships/hyperlink" Target="https://shizune.co/investors/artificial-intelligence-angel-investors-united-states" TargetMode="External"/><Relationship Id="rId908" Type="http://schemas.openxmlformats.org/officeDocument/2006/relationships/hyperlink" Target="https://www.linkedin.com/search/results/people/?keywords=Ruchi+Sanghvi+angel+investor+robotics+AI+deeptech" TargetMode="External"/><Relationship Id="rId903" Type="http://schemas.openxmlformats.org/officeDocument/2006/relationships/hyperlink" Target="https://shizune.co/investors/artificial-intelligence-angel-investors-united-states" TargetMode="External"/><Relationship Id="rId902" Type="http://schemas.openxmlformats.org/officeDocument/2006/relationships/hyperlink" Target="https://www.linkedin.com/search/results/people/?keywords=Richard+Aberman+angel+investor+robotics+AI+deeptech" TargetMode="External"/><Relationship Id="rId901" Type="http://schemas.openxmlformats.org/officeDocument/2006/relationships/hyperlink" Target="https://shizune.co/investors/artificial-intelligence-angel-investors-united-states" TargetMode="External"/><Relationship Id="rId900" Type="http://schemas.openxmlformats.org/officeDocument/2006/relationships/hyperlink" Target="https://www.linkedin.com/search/results/people/?keywords=Reid+Hoffman+angel+investor+robotics+AI+deeptech" TargetMode="External"/><Relationship Id="rId929" Type="http://schemas.openxmlformats.org/officeDocument/2006/relationships/hyperlink" Target="https://shizune.co/investors/artificial-intelligence-angel-investors-united-states" TargetMode="External"/><Relationship Id="rId928" Type="http://schemas.openxmlformats.org/officeDocument/2006/relationships/hyperlink" Target="https://www.linkedin.com/search/results/people/?keywords=Soleio+Cuervo+angel+investor+robotics+AI+deeptech" TargetMode="External"/><Relationship Id="rId927" Type="http://schemas.openxmlformats.org/officeDocument/2006/relationships/hyperlink" Target="https://shizune.co/investors/artificial-intelligence-angel-investors-united-states" TargetMode="External"/><Relationship Id="rId926" Type="http://schemas.openxmlformats.org/officeDocument/2006/relationships/hyperlink" Target="https://www.linkedin.com/search/results/people/?keywords=Siqi+Chen+angel+investor+robotics+AI+deeptech" TargetMode="External"/><Relationship Id="rId921" Type="http://schemas.openxmlformats.org/officeDocument/2006/relationships/hyperlink" Target="https://shizune.co/investors/artificial-intelligence-angel-investors-united-states" TargetMode="External"/><Relationship Id="rId920" Type="http://schemas.openxmlformats.org/officeDocument/2006/relationships/hyperlink" Target="https://www.linkedin.com/search/results/people/?keywords=Semil+Shah+angel+investor+robotics+AI+deeptech" TargetMode="External"/><Relationship Id="rId925" Type="http://schemas.openxmlformats.org/officeDocument/2006/relationships/hyperlink" Target="https://shizune.co/investors/artificial-intelligence-angel-investors-united-states" TargetMode="External"/><Relationship Id="rId924" Type="http://schemas.openxmlformats.org/officeDocument/2006/relationships/hyperlink" Target="https://www.linkedin.com/search/results/people/?keywords=Shervin+Pishevar+angel+investor+robotics+AI+deeptech" TargetMode="External"/><Relationship Id="rId923" Type="http://schemas.openxmlformats.org/officeDocument/2006/relationships/hyperlink" Target="https://shizune.co/investors/artificial-intelligence-angel-investors-united-states" TargetMode="External"/><Relationship Id="rId922" Type="http://schemas.openxmlformats.org/officeDocument/2006/relationships/hyperlink" Target="https://www.linkedin.com/search/results/people/?keywords=Shan-Lyn+Ma+angel+investor+robotics+AI+deeptech" TargetMode="External"/><Relationship Id="rId918" Type="http://schemas.openxmlformats.org/officeDocument/2006/relationships/hyperlink" Target="https://www.linkedin.com/search/results/people/?keywords=Scott+Belsky+angel+investor+robotics+AI+deeptech" TargetMode="External"/><Relationship Id="rId917" Type="http://schemas.openxmlformats.org/officeDocument/2006/relationships/hyperlink" Target="https://shizune.co/investors/artificial-intelligence-angel-investors-united-states" TargetMode="External"/><Relationship Id="rId916" Type="http://schemas.openxmlformats.org/officeDocument/2006/relationships/hyperlink" Target="https://www.linkedin.com/search/results/people/?keywords=Scott+Banister+angel+investor+robotics+AI+deeptech" TargetMode="External"/><Relationship Id="rId915" Type="http://schemas.openxmlformats.org/officeDocument/2006/relationships/hyperlink" Target="https://shizune.co/investors/artificial-intelligence-angel-investors-united-states" TargetMode="External"/><Relationship Id="rId919" Type="http://schemas.openxmlformats.org/officeDocument/2006/relationships/hyperlink" Target="https://shizune.co/investors/artificial-intelligence-angel-investors-united-states" TargetMode="External"/><Relationship Id="rId910" Type="http://schemas.openxmlformats.org/officeDocument/2006/relationships/hyperlink" Target="https://www.linkedin.com/search/results/people/?keywords=Sam+Altman+angel+investor+robotics+AI+deeptech" TargetMode="External"/><Relationship Id="rId914" Type="http://schemas.openxmlformats.org/officeDocument/2006/relationships/hyperlink" Target="https://www.linkedin.com/search/results/people/?keywords=Satya+Patel+angel+investor+robotics+AI+deeptech" TargetMode="External"/><Relationship Id="rId913" Type="http://schemas.openxmlformats.org/officeDocument/2006/relationships/hyperlink" Target="https://shizune.co/investors/artificial-intelligence-angel-investors-united-states" TargetMode="External"/><Relationship Id="rId912" Type="http://schemas.openxmlformats.org/officeDocument/2006/relationships/hyperlink" Target="https://www.linkedin.com/search/results/people/?keywords=Sarah+Guo+angel+investor+robotics+AI+deeptech" TargetMode="External"/><Relationship Id="rId911" Type="http://schemas.openxmlformats.org/officeDocument/2006/relationships/hyperlink" Target="https://shizune.co/investors/artificial-intelligence-angel-investors-united-states" TargetMode="External"/><Relationship Id="rId629" Type="http://schemas.openxmlformats.org/officeDocument/2006/relationships/hyperlink" Target="https://shizune.co/investors/hardware-angel-investors-united-states" TargetMode="External"/><Relationship Id="rId624" Type="http://schemas.openxmlformats.org/officeDocument/2006/relationships/hyperlink" Target="https://www.linkedin.com/search/results/people/?keywords=Robert+DeMaio+angel+investor+robotics+AI+deeptech" TargetMode="External"/><Relationship Id="rId866" Type="http://schemas.openxmlformats.org/officeDocument/2006/relationships/hyperlink" Target="https://www.linkedin.com/search/results/people/?keywords=Matei+Zaharia+angel+investor+robotics+AI+deeptech" TargetMode="External"/><Relationship Id="rId623" Type="http://schemas.openxmlformats.org/officeDocument/2006/relationships/hyperlink" Target="https://shizune.co/investors/hardware-angel-investors-united-states" TargetMode="External"/><Relationship Id="rId865" Type="http://schemas.openxmlformats.org/officeDocument/2006/relationships/hyperlink" Target="https://shizune.co/investors/artificial-intelligence-angel-investors-united-states" TargetMode="External"/><Relationship Id="rId622" Type="http://schemas.openxmlformats.org/officeDocument/2006/relationships/hyperlink" Target="https://www.linkedin.com/search/results/people/?keywords=Pieter+Abbeel+angel+investor+robotics+AI+deeptech" TargetMode="External"/><Relationship Id="rId864" Type="http://schemas.openxmlformats.org/officeDocument/2006/relationships/hyperlink" Target="https://www.linkedin.com/search/results/people/?keywords=Masha+Bucher+angel+investor+robotics+AI+deeptech" TargetMode="External"/><Relationship Id="rId621" Type="http://schemas.openxmlformats.org/officeDocument/2006/relationships/hyperlink" Target="https://shizune.co/investors/artificial-intelligence-angel-investors-united-states" TargetMode="External"/><Relationship Id="rId863" Type="http://schemas.openxmlformats.org/officeDocument/2006/relationships/hyperlink" Target="https://shizune.co/investors/artificial-intelligence-angel-investors-united-states" TargetMode="External"/><Relationship Id="rId628" Type="http://schemas.openxmlformats.org/officeDocument/2006/relationships/hyperlink" Target="https://www.linkedin.com/search/results/people/?keywords=Rodney+Brooks+angel+investor+robotics+AI+deeptech" TargetMode="External"/><Relationship Id="rId627" Type="http://schemas.openxmlformats.org/officeDocument/2006/relationships/hyperlink" Target="https://shizune.co/investors/hardware-angel-investors-united-states" TargetMode="External"/><Relationship Id="rId869" Type="http://schemas.openxmlformats.org/officeDocument/2006/relationships/hyperlink" Target="https://shizune.co/investors/artificial-intelligence-angel-investors-united-states" TargetMode="External"/><Relationship Id="rId626" Type="http://schemas.openxmlformats.org/officeDocument/2006/relationships/hyperlink" Target="https://www.linkedin.com/search/results/people/?keywords=Robin+Murphy+angel+investor+robotics+AI+deeptech" TargetMode="External"/><Relationship Id="rId868" Type="http://schemas.openxmlformats.org/officeDocument/2006/relationships/hyperlink" Target="https://www.linkedin.com/search/results/people/?keywords=Max+Levchin+angel+investor+robotics+AI+deeptech" TargetMode="External"/><Relationship Id="rId625" Type="http://schemas.openxmlformats.org/officeDocument/2006/relationships/hyperlink" Target="https://shizune.co/investors/hardware-angel-investors-united-states" TargetMode="External"/><Relationship Id="rId867" Type="http://schemas.openxmlformats.org/officeDocument/2006/relationships/hyperlink" Target="https://shizune.co/investors/artificial-intelligence-angel-investors-united-states" TargetMode="External"/><Relationship Id="rId620" Type="http://schemas.openxmlformats.org/officeDocument/2006/relationships/hyperlink" Target="https://www.linkedin.com/search/results/people/?keywords=Peter+Thiel+angel+investor+robotics+AI+deeptech" TargetMode="External"/><Relationship Id="rId862" Type="http://schemas.openxmlformats.org/officeDocument/2006/relationships/hyperlink" Target="https://www.linkedin.com/search/results/people/?keywords=Marvin+Liao+angel+investor+robotics+AI+deeptech" TargetMode="External"/><Relationship Id="rId861" Type="http://schemas.openxmlformats.org/officeDocument/2006/relationships/hyperlink" Target="https://shizune.co/investors/artificial-intelligence-angel-investors-united-states" TargetMode="External"/><Relationship Id="rId860" Type="http://schemas.openxmlformats.org/officeDocument/2006/relationships/hyperlink" Target="https://www.linkedin.com/search/results/people/?keywords=Martin+Casado+angel+investor+robotics+AI+deeptech" TargetMode="External"/><Relationship Id="rId619" Type="http://schemas.openxmlformats.org/officeDocument/2006/relationships/hyperlink" Target="https://shizune.co/investors/artificial-intelligence-angel-investors-united-states" TargetMode="External"/><Relationship Id="rId618" Type="http://schemas.openxmlformats.org/officeDocument/2006/relationships/hyperlink" Target="https://www.linkedin.com/search/results/people/?keywords=Packy+McCormick+angel+investor+robotics+AI+deeptech" TargetMode="External"/><Relationship Id="rId613" Type="http://schemas.openxmlformats.org/officeDocument/2006/relationships/hyperlink" Target="https://shizune.co/investors/artificial-intelligence-angel-investors-united-states" TargetMode="External"/><Relationship Id="rId855" Type="http://schemas.openxmlformats.org/officeDocument/2006/relationships/hyperlink" Target="https://shizune.co/investors/artificial-intelligence-angel-investors-united-states" TargetMode="External"/><Relationship Id="rId612" Type="http://schemas.openxmlformats.org/officeDocument/2006/relationships/hyperlink" Target="https://www.linkedin.com/search/results/people/?keywords=Joe+Lonsdale+angel+investor+robotics+AI+deeptech" TargetMode="External"/><Relationship Id="rId854" Type="http://schemas.openxmlformats.org/officeDocument/2006/relationships/hyperlink" Target="https://www.linkedin.com/search/results/people/?keywords=Marc+Andreessen+angel+investor+robotics+AI+deeptech" TargetMode="External"/><Relationship Id="rId611" Type="http://schemas.openxmlformats.org/officeDocument/2006/relationships/hyperlink" Target="https://shizune.co/investors/hardware-angel-investors-united-states" TargetMode="External"/><Relationship Id="rId853" Type="http://schemas.openxmlformats.org/officeDocument/2006/relationships/hyperlink" Target="https://shizune.co/investors/artificial-intelligence-angel-investors-united-states" TargetMode="External"/><Relationship Id="rId610" Type="http://schemas.openxmlformats.org/officeDocument/2006/relationships/hyperlink" Target="https://www.linkedin.com/search/results/people/?keywords=Jeff+Wilke+angel+investor+robotics+AI+deeptech" TargetMode="External"/><Relationship Id="rId852" Type="http://schemas.openxmlformats.org/officeDocument/2006/relationships/hyperlink" Target="https://www.linkedin.com/search/results/people/?keywords=Linda+Rottenberg+angel+investor+robotics+AI+deeptech" TargetMode="External"/><Relationship Id="rId617" Type="http://schemas.openxmlformats.org/officeDocument/2006/relationships/hyperlink" Target="https://shizune.co/investors/hardware-angel-investors-united-states" TargetMode="External"/><Relationship Id="rId859" Type="http://schemas.openxmlformats.org/officeDocument/2006/relationships/hyperlink" Target="https://shizune.co/investors/artificial-intelligence-angel-investors-united-states" TargetMode="External"/><Relationship Id="rId616" Type="http://schemas.openxmlformats.org/officeDocument/2006/relationships/hyperlink" Target="https://www.linkedin.com/search/results/people/?keywords=Marc+Tarpenning+angel+investor+robotics+AI+deeptech" TargetMode="External"/><Relationship Id="rId858" Type="http://schemas.openxmlformats.org/officeDocument/2006/relationships/hyperlink" Target="https://www.linkedin.com/search/results/people/?keywords=Mark+Cuban+angel+investor+robotics+AI+deeptech" TargetMode="External"/><Relationship Id="rId615" Type="http://schemas.openxmlformats.org/officeDocument/2006/relationships/hyperlink" Target="https://shizune.co/investors/hardware-angel-investors-united-states" TargetMode="External"/><Relationship Id="rId857" Type="http://schemas.openxmlformats.org/officeDocument/2006/relationships/hyperlink" Target="https://shizune.co/investors/artificial-intelligence-angel-investors-united-states" TargetMode="External"/><Relationship Id="rId614" Type="http://schemas.openxmlformats.org/officeDocument/2006/relationships/hyperlink" Target="https://www.linkedin.com/search/results/people/?keywords=Ken+Goldberg+angel+investor+robotics+AI+deeptech" TargetMode="External"/><Relationship Id="rId856" Type="http://schemas.openxmlformats.org/officeDocument/2006/relationships/hyperlink" Target="https://www.linkedin.com/search/results/people/?keywords=Marc+Benioff+angel+investor+robotics+AI+deeptech" TargetMode="External"/><Relationship Id="rId851" Type="http://schemas.openxmlformats.org/officeDocument/2006/relationships/hyperlink" Target="https://shizune.co/investors/artificial-intelligence-angel-investors-united-states" TargetMode="External"/><Relationship Id="rId850" Type="http://schemas.openxmlformats.org/officeDocument/2006/relationships/hyperlink" Target="https://www.linkedin.com/search/results/people/?keywords=Lenny+Rachitsky+angel+investor+robotics+AI+deeptech" TargetMode="External"/><Relationship Id="rId409" Type="http://schemas.openxmlformats.org/officeDocument/2006/relationships/hyperlink" Target="https://shizune.co/investors/angel-investors-spain" TargetMode="External"/><Relationship Id="rId404" Type="http://schemas.openxmlformats.org/officeDocument/2006/relationships/hyperlink" Target="https://www.linkedin.com/search/results/people/?keywords=Carlos+Blanco+angel+investor+robotics+AI+deeptech" TargetMode="External"/><Relationship Id="rId646" Type="http://schemas.openxmlformats.org/officeDocument/2006/relationships/hyperlink" Target="https://www.linkedin.com/search/results/people/?keywords=Ritesh+Malik+angel+investor+robotics+AI+deeptech" TargetMode="External"/><Relationship Id="rId888" Type="http://schemas.openxmlformats.org/officeDocument/2006/relationships/hyperlink" Target="https://www.linkedin.com/search/results/people/?keywords=Nitesh+Banta+angel+investor+robotics+AI+deeptech" TargetMode="External"/><Relationship Id="rId403" Type="http://schemas.openxmlformats.org/officeDocument/2006/relationships/hyperlink" Target="https://shizune.co/investors/angel-investors-spain" TargetMode="External"/><Relationship Id="rId645" Type="http://schemas.openxmlformats.org/officeDocument/2006/relationships/hyperlink" Target="https://shizune.co/investors/artificial-intelligence-angel-investors" TargetMode="External"/><Relationship Id="rId887" Type="http://schemas.openxmlformats.org/officeDocument/2006/relationships/hyperlink" Target="https://shizune.co/investors/artificial-intelligence-angel-investors-united-states" TargetMode="External"/><Relationship Id="rId402" Type="http://schemas.openxmlformats.org/officeDocument/2006/relationships/hyperlink" Target="https://www.linkedin.com/search/results/people/?keywords=Bernardo+Hern%C3%A1ndez+angel+investor+robotics+AI+deeptech" TargetMode="External"/><Relationship Id="rId644" Type="http://schemas.openxmlformats.org/officeDocument/2006/relationships/hyperlink" Target="https://www.linkedin.com/search/results/people/?keywords=Nandan+Nilekani+angel+investor+robotics+AI+deeptech" TargetMode="External"/><Relationship Id="rId886" Type="http://schemas.openxmlformats.org/officeDocument/2006/relationships/hyperlink" Target="https://www.linkedin.com/search/results/people/?keywords=Nir+Eyal+angel+investor+robotics+AI+deeptech" TargetMode="External"/><Relationship Id="rId401" Type="http://schemas.openxmlformats.org/officeDocument/2006/relationships/hyperlink" Target="https://shizune.co/investors/angel-investors-spain" TargetMode="External"/><Relationship Id="rId643" Type="http://schemas.openxmlformats.org/officeDocument/2006/relationships/hyperlink" Target="https://shizune.co/investors/angel-investors-israel" TargetMode="External"/><Relationship Id="rId885" Type="http://schemas.openxmlformats.org/officeDocument/2006/relationships/hyperlink" Target="https://shizune.co/investors/artificial-intelligence-angel-investors-united-states" TargetMode="External"/><Relationship Id="rId408" Type="http://schemas.openxmlformats.org/officeDocument/2006/relationships/hyperlink" Target="https://www.linkedin.com/search/results/people/?keywords=D%C3%ADdac+Lee+angel+investor+robotics+AI+deeptech" TargetMode="External"/><Relationship Id="rId407" Type="http://schemas.openxmlformats.org/officeDocument/2006/relationships/hyperlink" Target="https://shizune.co/investors/angel-investors-spain" TargetMode="External"/><Relationship Id="rId649" Type="http://schemas.openxmlformats.org/officeDocument/2006/relationships/hyperlink" Target="https://shizune.co/investors/hardware-angel-investors" TargetMode="External"/><Relationship Id="rId406" Type="http://schemas.openxmlformats.org/officeDocument/2006/relationships/hyperlink" Target="https://www.linkedin.com/search/results/people/?keywords=Didac+Lee+angel+investor+robotics+AI+deeptech" TargetMode="External"/><Relationship Id="rId648" Type="http://schemas.openxmlformats.org/officeDocument/2006/relationships/hyperlink" Target="https://www.linkedin.com/search/results/people/?keywords=Taizo+Son+angel+investor+robotics+AI+deeptech" TargetMode="External"/><Relationship Id="rId405" Type="http://schemas.openxmlformats.org/officeDocument/2006/relationships/hyperlink" Target="https://shizune.co/investors/angel-investors-spain" TargetMode="External"/><Relationship Id="rId647" Type="http://schemas.openxmlformats.org/officeDocument/2006/relationships/hyperlink" Target="https://shizune.co/investors/artificial-intelligence-angel-investors" TargetMode="External"/><Relationship Id="rId889" Type="http://schemas.openxmlformats.org/officeDocument/2006/relationships/hyperlink" Target="https://shizune.co/investors/artificial-intelligence-angel-investors-united-states" TargetMode="External"/><Relationship Id="rId880" Type="http://schemas.openxmlformats.org/officeDocument/2006/relationships/hyperlink" Target="https://www.linkedin.com/search/results/people/?keywords=Naval+Ravikant+angel+investor+robotics+AI+deeptech" TargetMode="External"/><Relationship Id="rId400" Type="http://schemas.openxmlformats.org/officeDocument/2006/relationships/hyperlink" Target="https://www.linkedin.com/search/results/people/?keywords=Alex+Barrera+angel+investor+robotics+AI+deeptech" TargetMode="External"/><Relationship Id="rId642" Type="http://schemas.openxmlformats.org/officeDocument/2006/relationships/hyperlink" Target="https://www.linkedin.com/search/results/people/?keywords=Marius+Nacht+angel+investor+robotics+AI+deeptech" TargetMode="External"/><Relationship Id="rId884" Type="http://schemas.openxmlformats.org/officeDocument/2006/relationships/hyperlink" Target="https://www.linkedin.com/search/results/people/?keywords=Nikhil+Basu+Trivedi+angel+investor+robotics+AI+deeptech" TargetMode="External"/><Relationship Id="rId641" Type="http://schemas.openxmlformats.org/officeDocument/2006/relationships/hyperlink" Target="https://shizune.co/investors/hardware-angel-investors" TargetMode="External"/><Relationship Id="rId883" Type="http://schemas.openxmlformats.org/officeDocument/2006/relationships/hyperlink" Target="https://shizune.co/investors/artificial-intelligence-angel-investors-united-states" TargetMode="External"/><Relationship Id="rId640" Type="http://schemas.openxmlformats.org/officeDocument/2006/relationships/hyperlink" Target="https://www.linkedin.com/search/results/people/?keywords=Eyal+Waldman+angel+investor+robotics+AI+deeptech" TargetMode="External"/><Relationship Id="rId882" Type="http://schemas.openxmlformats.org/officeDocument/2006/relationships/hyperlink" Target="https://www.linkedin.com/search/results/people/?keywords=Nicolas+Dessaigne+angel+investor+robotics+AI+deeptech" TargetMode="External"/><Relationship Id="rId881" Type="http://schemas.openxmlformats.org/officeDocument/2006/relationships/hyperlink" Target="https://shizune.co/investors/artificial-intelligence-angel-investors-united-states" TargetMode="External"/><Relationship Id="rId635" Type="http://schemas.openxmlformats.org/officeDocument/2006/relationships/hyperlink" Target="https://shizune.co/investors/artificial-intelligence-angel-investors-united-states" TargetMode="External"/><Relationship Id="rId877" Type="http://schemas.openxmlformats.org/officeDocument/2006/relationships/hyperlink" Target="https://shizune.co/investors/artificial-intelligence-angel-investors-united-states" TargetMode="External"/><Relationship Id="rId634" Type="http://schemas.openxmlformats.org/officeDocument/2006/relationships/hyperlink" Target="https://www.linkedin.com/search/results/people/?keywords=Werner+Vogels+angel+investor+robotics+AI+deeptech" TargetMode="External"/><Relationship Id="rId876" Type="http://schemas.openxmlformats.org/officeDocument/2006/relationships/hyperlink" Target="https://www.linkedin.com/search/results/people/?keywords=M%C3%A5rten+Mickos+angel+investor+robotics+AI+deeptech" TargetMode="External"/><Relationship Id="rId633" Type="http://schemas.openxmlformats.org/officeDocument/2006/relationships/hyperlink" Target="https://shizune.co/investors/hardware-angel-investors-united-states" TargetMode="External"/><Relationship Id="rId875" Type="http://schemas.openxmlformats.org/officeDocument/2006/relationships/hyperlink" Target="https://shizune.co/investors/artificial-intelligence-angel-investors-united-states" TargetMode="External"/><Relationship Id="rId632" Type="http://schemas.openxmlformats.org/officeDocument/2006/relationships/hyperlink" Target="https://www.linkedin.com/search/results/people/?keywords=Steve+Jurvetson+angel+investor+robotics+AI+deeptech" TargetMode="External"/><Relationship Id="rId874" Type="http://schemas.openxmlformats.org/officeDocument/2006/relationships/hyperlink" Target="https://www.linkedin.com/search/results/people/?keywords=Morten+Primdahl+angel+investor+robotics+AI+deeptech" TargetMode="External"/><Relationship Id="rId639" Type="http://schemas.openxmlformats.org/officeDocument/2006/relationships/hyperlink" Target="https://shizune.co/investors/hardware-angel-investors" TargetMode="External"/><Relationship Id="rId638" Type="http://schemas.openxmlformats.org/officeDocument/2006/relationships/hyperlink" Target="https://www.linkedin.com/search/results/people/?keywords=Dov+Moran+angel+investor+robotics+AI+deeptech" TargetMode="External"/><Relationship Id="rId637" Type="http://schemas.openxmlformats.org/officeDocument/2006/relationships/hyperlink" Target="https://shizune.co/investors/artificial-intelligence-angel-investors-united-states" TargetMode="External"/><Relationship Id="rId879" Type="http://schemas.openxmlformats.org/officeDocument/2006/relationships/hyperlink" Target="https://shizune.co/investors/artificial-intelligence-angel-investors-united-states" TargetMode="External"/><Relationship Id="rId636" Type="http://schemas.openxmlformats.org/officeDocument/2006/relationships/hyperlink" Target="https://www.linkedin.com/search/results/people/?keywords=Yann+LeCun+angel+investor+robotics+AI+deeptech" TargetMode="External"/><Relationship Id="rId878" Type="http://schemas.openxmlformats.org/officeDocument/2006/relationships/hyperlink" Target="https://www.linkedin.com/search/results/people/?keywords=Nat+Friedman+angel+investor+robotics+AI+deeptech" TargetMode="External"/><Relationship Id="rId631" Type="http://schemas.openxmlformats.org/officeDocument/2006/relationships/hyperlink" Target="https://shizune.co/investors/hardware-angel-investors-united-states" TargetMode="External"/><Relationship Id="rId873" Type="http://schemas.openxmlformats.org/officeDocument/2006/relationships/hyperlink" Target="https://shizune.co/investors/artificial-intelligence-angel-investors-united-states" TargetMode="External"/><Relationship Id="rId630" Type="http://schemas.openxmlformats.org/officeDocument/2006/relationships/hyperlink" Target="https://www.linkedin.com/search/results/people/?keywords=Sahin+Boydas+angel+investor+robotics+AI+deeptech" TargetMode="External"/><Relationship Id="rId872" Type="http://schemas.openxmlformats.org/officeDocument/2006/relationships/hyperlink" Target="https://www.linkedin.com/search/results/people/?keywords=Michael+Seibel+angel+investor+robotics+AI+deeptech" TargetMode="External"/><Relationship Id="rId871" Type="http://schemas.openxmlformats.org/officeDocument/2006/relationships/hyperlink" Target="https://shizune.co/investors/artificial-intelligence-angel-investors-united-states" TargetMode="External"/><Relationship Id="rId870" Type="http://schemas.openxmlformats.org/officeDocument/2006/relationships/hyperlink" Target="https://www.linkedin.com/search/results/people/?keywords=Max+Mullen+angel+investor+robotics+AI+deeptech" TargetMode="External"/><Relationship Id="rId829" Type="http://schemas.openxmlformats.org/officeDocument/2006/relationships/hyperlink" Target="https://shizune.co/investors/artificial-intelligence-angel-investors-united-states" TargetMode="External"/><Relationship Id="rId828" Type="http://schemas.openxmlformats.org/officeDocument/2006/relationships/hyperlink" Target="https://www.linkedin.com/search/results/people/?keywords=Joshua+Schachter+angel+investor+robotics+AI+deeptech" TargetMode="External"/><Relationship Id="rId827" Type="http://schemas.openxmlformats.org/officeDocument/2006/relationships/hyperlink" Target="https://shizune.co/investors/artificial-intelligence-angel-investors-united-states" TargetMode="External"/><Relationship Id="rId822" Type="http://schemas.openxmlformats.org/officeDocument/2006/relationships/hyperlink" Target="https://www.linkedin.com/search/results/people/?keywords=Jim+Scheinman+angel+investor+robotics+AI+deeptech" TargetMode="External"/><Relationship Id="rId821" Type="http://schemas.openxmlformats.org/officeDocument/2006/relationships/hyperlink" Target="https://shizune.co/investors/artificial-intelligence-angel-investors-united-states" TargetMode="External"/><Relationship Id="rId820" Type="http://schemas.openxmlformats.org/officeDocument/2006/relationships/hyperlink" Target="https://www.linkedin.com/search/results/people/?keywords=Jeff+Weiner+angel+investor+robotics+AI+deeptech" TargetMode="External"/><Relationship Id="rId826" Type="http://schemas.openxmlformats.org/officeDocument/2006/relationships/hyperlink" Target="https://www.linkedin.com/search/results/people/?keywords=Josh+Elman+angel+investor+robotics+AI+deeptech" TargetMode="External"/><Relationship Id="rId825" Type="http://schemas.openxmlformats.org/officeDocument/2006/relationships/hyperlink" Target="https://shizune.co/investors/artificial-intelligence-angel-investors-united-states" TargetMode="External"/><Relationship Id="rId824" Type="http://schemas.openxmlformats.org/officeDocument/2006/relationships/hyperlink" Target="https://www.linkedin.com/search/results/people/?keywords=John+Collison+angel+investor+robotics+AI+deeptech" TargetMode="External"/><Relationship Id="rId823" Type="http://schemas.openxmlformats.org/officeDocument/2006/relationships/hyperlink" Target="https://shizune.co/investors/artificial-intelligence-angel-investors-united-states" TargetMode="External"/><Relationship Id="rId819" Type="http://schemas.openxmlformats.org/officeDocument/2006/relationships/hyperlink" Target="https://shizune.co/investors/artificial-intelligence-angel-investors-united-states" TargetMode="External"/><Relationship Id="rId818" Type="http://schemas.openxmlformats.org/officeDocument/2006/relationships/hyperlink" Target="https://www.linkedin.com/search/results/people/?keywords=Jeff+Hammerbacher+angel+investor+robotics+AI+deeptech" TargetMode="External"/><Relationship Id="rId817" Type="http://schemas.openxmlformats.org/officeDocument/2006/relationships/hyperlink" Target="https://shizune.co/investors/artificial-intelligence-angel-investors-united-states" TargetMode="External"/><Relationship Id="rId816" Type="http://schemas.openxmlformats.org/officeDocument/2006/relationships/hyperlink" Target="https://www.linkedin.com/search/results/people/?keywords=Jeff+Dean+angel+investor+robotics+AI+deeptech" TargetMode="External"/><Relationship Id="rId811" Type="http://schemas.openxmlformats.org/officeDocument/2006/relationships/hyperlink" Target="https://shizune.co/investors/artificial-intelligence-angel-investors-united-states" TargetMode="External"/><Relationship Id="rId810" Type="http://schemas.openxmlformats.org/officeDocument/2006/relationships/hyperlink" Target="https://www.linkedin.com/search/results/people/?keywords=Jason+Lemkin+angel+investor+robotics+AI+deeptech" TargetMode="External"/><Relationship Id="rId815" Type="http://schemas.openxmlformats.org/officeDocument/2006/relationships/hyperlink" Target="https://shizune.co/investors/artificial-intelligence-angel-investors-united-states" TargetMode="External"/><Relationship Id="rId814" Type="http://schemas.openxmlformats.org/officeDocument/2006/relationships/hyperlink" Target="https://www.linkedin.com/search/results/people/?keywords=Jeff+Clavier+angel+investor+robotics+AI+deeptech" TargetMode="External"/><Relationship Id="rId813" Type="http://schemas.openxmlformats.org/officeDocument/2006/relationships/hyperlink" Target="https://shizune.co/investors/artificial-intelligence-angel-investors-united-states" TargetMode="External"/><Relationship Id="rId812" Type="http://schemas.openxmlformats.org/officeDocument/2006/relationships/hyperlink" Target="https://www.linkedin.com/search/results/people/?keywords=Jay+Kreps+angel+investor+robotics+AI+deeptech" TargetMode="External"/><Relationship Id="rId609" Type="http://schemas.openxmlformats.org/officeDocument/2006/relationships/hyperlink" Target="https://shizune.co/investors/hardware-angel-investors-united-states" TargetMode="External"/><Relationship Id="rId608" Type="http://schemas.openxmlformats.org/officeDocument/2006/relationships/hyperlink" Target="https://www.linkedin.com/search/results/people/?keywords=Jason+Calacanis+angel+investor+robotics+AI+deeptech" TargetMode="External"/><Relationship Id="rId607" Type="http://schemas.openxmlformats.org/officeDocument/2006/relationships/hyperlink" Target="https://shizune.co/investors/hardware-angel-investors-united-states" TargetMode="External"/><Relationship Id="rId849" Type="http://schemas.openxmlformats.org/officeDocument/2006/relationships/hyperlink" Target="https://shizune.co/investors/artificial-intelligence-angel-investors-united-states" TargetMode="External"/><Relationship Id="rId602" Type="http://schemas.openxmlformats.org/officeDocument/2006/relationships/hyperlink" Target="https://www.linkedin.com/search/results/people/?keywords=Helen+Greiner+angel+investor+robotics+AI+deeptech" TargetMode="External"/><Relationship Id="rId844" Type="http://schemas.openxmlformats.org/officeDocument/2006/relationships/hyperlink" Target="https://www.linkedin.com/search/results/people/?keywords=Lars+Fjeldsoe-Nielsen+angel+investor+robotics+AI+deeptech" TargetMode="External"/><Relationship Id="rId601" Type="http://schemas.openxmlformats.org/officeDocument/2006/relationships/hyperlink" Target="https://shizune.co/investors/artificial-intelligence-angel-investors-united-states" TargetMode="External"/><Relationship Id="rId843" Type="http://schemas.openxmlformats.org/officeDocument/2006/relationships/hyperlink" Target="https://shizune.co/investors/artificial-intelligence-angel-investors-united-states" TargetMode="External"/><Relationship Id="rId600" Type="http://schemas.openxmlformats.org/officeDocument/2006/relationships/hyperlink" Target="https://www.linkedin.com/search/results/people/?keywords=Fei-Fei+Li+angel+investor+robotics+AI+deeptech" TargetMode="External"/><Relationship Id="rId842" Type="http://schemas.openxmlformats.org/officeDocument/2006/relationships/hyperlink" Target="https://www.linkedin.com/search/results/people/?keywords=Lachy+Groom+angel+investor+robotics+AI+deeptech" TargetMode="External"/><Relationship Id="rId841" Type="http://schemas.openxmlformats.org/officeDocument/2006/relationships/hyperlink" Target="https://shizune.co/investors/artificial-intelligence-angel-investors-united-states" TargetMode="External"/><Relationship Id="rId606" Type="http://schemas.openxmlformats.org/officeDocument/2006/relationships/hyperlink" Target="https://www.linkedin.com/search/results/people/?keywords=JB+Straubel+angel+investor+robotics+AI+deeptech" TargetMode="External"/><Relationship Id="rId848" Type="http://schemas.openxmlformats.org/officeDocument/2006/relationships/hyperlink" Target="https://www.linkedin.com/search/results/people/?keywords=Leah+Solivan+angel+investor+robotics+AI+deeptech" TargetMode="External"/><Relationship Id="rId605" Type="http://schemas.openxmlformats.org/officeDocument/2006/relationships/hyperlink" Target="https://shizune.co/investors/artificial-intelligence-angel-investors-united-states" TargetMode="External"/><Relationship Id="rId847" Type="http://schemas.openxmlformats.org/officeDocument/2006/relationships/hyperlink" Target="https://shizune.co/investors/artificial-intelligence-angel-investors-united-states" TargetMode="External"/><Relationship Id="rId604" Type="http://schemas.openxmlformats.org/officeDocument/2006/relationships/hyperlink" Target="https://www.linkedin.com/search/results/people/?keywords=Ion+Stoica+angel+investor+robotics+AI+deeptech" TargetMode="External"/><Relationship Id="rId846" Type="http://schemas.openxmlformats.org/officeDocument/2006/relationships/hyperlink" Target="https://www.linkedin.com/search/results/people/?keywords=Lea+Kissner+angel+investor+robotics+AI+deeptech" TargetMode="External"/><Relationship Id="rId603" Type="http://schemas.openxmlformats.org/officeDocument/2006/relationships/hyperlink" Target="https://shizune.co/investors/hardware-angel-investors-united-states" TargetMode="External"/><Relationship Id="rId845" Type="http://schemas.openxmlformats.org/officeDocument/2006/relationships/hyperlink" Target="https://shizune.co/investors/artificial-intelligence-angel-investors-united-states" TargetMode="External"/><Relationship Id="rId840" Type="http://schemas.openxmlformats.org/officeDocument/2006/relationships/hyperlink" Target="https://www.linkedin.com/search/results/people/?keywords=Kulveer+Taggar+angel+investor+robotics+AI+deeptech" TargetMode="External"/><Relationship Id="rId839" Type="http://schemas.openxmlformats.org/officeDocument/2006/relationships/hyperlink" Target="https://shizune.co/investors/artificial-intelligence-angel-investors-united-states" TargetMode="External"/><Relationship Id="rId838" Type="http://schemas.openxmlformats.org/officeDocument/2006/relationships/hyperlink" Target="https://www.linkedin.com/search/results/people/?keywords=Kevin+Mahaffey+angel+investor+robotics+AI+deeptech" TargetMode="External"/><Relationship Id="rId833" Type="http://schemas.openxmlformats.org/officeDocument/2006/relationships/hyperlink" Target="https://shizune.co/investors/artificial-intelligence-angel-investors-united-states" TargetMode="External"/><Relationship Id="rId832" Type="http://schemas.openxmlformats.org/officeDocument/2006/relationships/hyperlink" Target="https://www.linkedin.com/search/results/people/?keywords=Julien+Chaumond+angel+investor+robotics+AI+deeptech" TargetMode="External"/><Relationship Id="rId831" Type="http://schemas.openxmlformats.org/officeDocument/2006/relationships/hyperlink" Target="https://shizune.co/investors/artificial-intelligence-angel-investors-united-states" TargetMode="External"/><Relationship Id="rId830" Type="http://schemas.openxmlformats.org/officeDocument/2006/relationships/hyperlink" Target="https://www.linkedin.com/search/results/people/?keywords=Julia+Hartz+angel+investor+robotics+AI+deeptech" TargetMode="External"/><Relationship Id="rId837" Type="http://schemas.openxmlformats.org/officeDocument/2006/relationships/hyperlink" Target="https://shizune.co/investors/artificial-intelligence-angel-investors-united-states" TargetMode="External"/><Relationship Id="rId836" Type="http://schemas.openxmlformats.org/officeDocument/2006/relationships/hyperlink" Target="https://www.linkedin.com/search/results/people/?keywords=Keith+Rabois+angel+investor+robotics+AI+deeptech" TargetMode="External"/><Relationship Id="rId835" Type="http://schemas.openxmlformats.org/officeDocument/2006/relationships/hyperlink" Target="https://shizune.co/investors/artificial-intelligence-angel-investors-united-states" TargetMode="External"/><Relationship Id="rId834" Type="http://schemas.openxmlformats.org/officeDocument/2006/relationships/hyperlink" Target="https://www.linkedin.com/search/results/people/?keywords=Justin+Kan+angel+investor+robotics+AI+deeptech" TargetMode="External"/><Relationship Id="rId228" Type="http://schemas.openxmlformats.org/officeDocument/2006/relationships/hyperlink" Target="https://www.linkedin.com/search/results/people/?keywords=Dan+Cobley+angel+investor+robotics+AI+deeptech" TargetMode="External"/><Relationship Id="rId227" Type="http://schemas.openxmlformats.org/officeDocument/2006/relationships/hyperlink" Target="https://shizune.co/investors/angel-investors-united-kingdom" TargetMode="External"/><Relationship Id="rId469" Type="http://schemas.openxmlformats.org/officeDocument/2006/relationships/hyperlink" Target="https://shizune.co/investors/angel-investors-germany" TargetMode="External"/><Relationship Id="rId226" Type="http://schemas.openxmlformats.org/officeDocument/2006/relationships/hyperlink" Target="https://www.linkedin.com/search/results/people/?keywords=Dame+Stephanie+Shirley+angel+investor+robotics+AI+deeptech" TargetMode="External"/><Relationship Id="rId468" Type="http://schemas.openxmlformats.org/officeDocument/2006/relationships/hyperlink" Target="https://www.linkedin.com/search/results/people/?keywords=David+Schneider+angel+investor+robotics+AI+deeptech" TargetMode="External"/><Relationship Id="rId225" Type="http://schemas.openxmlformats.org/officeDocument/2006/relationships/hyperlink" Target="https://shizune.co/investors/angel-investors-united-kingdom" TargetMode="External"/><Relationship Id="rId467" Type="http://schemas.openxmlformats.org/officeDocument/2006/relationships/hyperlink" Target="https://shizune.co/investors/angel-investors-germany" TargetMode="External"/><Relationship Id="rId229" Type="http://schemas.openxmlformats.org/officeDocument/2006/relationships/hyperlink" Target="https://shizune.co/investors/angel-investors-united-kingdom" TargetMode="External"/><Relationship Id="rId220" Type="http://schemas.openxmlformats.org/officeDocument/2006/relationships/hyperlink" Target="https://www.linkedin.com/search/results/people/?keywords=Chris+Mairs+angel+investor+robotics+AI+deeptech" TargetMode="External"/><Relationship Id="rId462" Type="http://schemas.openxmlformats.org/officeDocument/2006/relationships/hyperlink" Target="https://www.linkedin.com/search/results/people/?keywords=Christian+Vollmann+angel+investor+robotics+AI+deeptech" TargetMode="External"/><Relationship Id="rId461" Type="http://schemas.openxmlformats.org/officeDocument/2006/relationships/hyperlink" Target="https://shizune.co/investors/angel-investors-germany" TargetMode="External"/><Relationship Id="rId460" Type="http://schemas.openxmlformats.org/officeDocument/2006/relationships/hyperlink" Target="https://www.linkedin.com/search/results/people/?keywords=Carsten+Maschmeyer+angel+investor+robotics+AI+deeptech" TargetMode="External"/><Relationship Id="rId224" Type="http://schemas.openxmlformats.org/officeDocument/2006/relationships/hyperlink" Target="https://www.linkedin.com/search/results/people/?keywords=Christer+Holloman+angel+investor+robotics+AI+deeptech" TargetMode="External"/><Relationship Id="rId466" Type="http://schemas.openxmlformats.org/officeDocument/2006/relationships/hyperlink" Target="https://www.linkedin.com/search/results/people/?keywords=Christophe+Maire+angel+investor+robotics+AI+deeptech" TargetMode="External"/><Relationship Id="rId223" Type="http://schemas.openxmlformats.org/officeDocument/2006/relationships/hyperlink" Target="https://shizune.co/investors/angel-investors-united-kingdom" TargetMode="External"/><Relationship Id="rId465" Type="http://schemas.openxmlformats.org/officeDocument/2006/relationships/hyperlink" Target="https://shizune.co/investors/angel-investors-germany" TargetMode="External"/><Relationship Id="rId222" Type="http://schemas.openxmlformats.org/officeDocument/2006/relationships/hyperlink" Target="https://www.linkedin.com/search/results/people/?keywords=Chris+Tottman+angel+investor+robotics+AI+deeptech" TargetMode="External"/><Relationship Id="rId464" Type="http://schemas.openxmlformats.org/officeDocument/2006/relationships/hyperlink" Target="https://www.linkedin.com/search/results/people/?keywords=Christoph+Janz+angel+investor+robotics+AI+deeptech" TargetMode="External"/><Relationship Id="rId221" Type="http://schemas.openxmlformats.org/officeDocument/2006/relationships/hyperlink" Target="https://shizune.co/investors/angel-investors-united-kingdom" TargetMode="External"/><Relationship Id="rId463" Type="http://schemas.openxmlformats.org/officeDocument/2006/relationships/hyperlink" Target="https://shizune.co/investors/angel-investors-germany" TargetMode="External"/><Relationship Id="rId217" Type="http://schemas.openxmlformats.org/officeDocument/2006/relationships/hyperlink" Target="https://shizune.co/investors/angel-investors-united-kingdom" TargetMode="External"/><Relationship Id="rId459" Type="http://schemas.openxmlformats.org/officeDocument/2006/relationships/hyperlink" Target="https://shizune.co/investors/angel-investors-germany" TargetMode="External"/><Relationship Id="rId216" Type="http://schemas.openxmlformats.org/officeDocument/2006/relationships/hyperlink" Target="https://www.linkedin.com/search/results/people/?keywords=Charles+Delingpole+angel+investor+robotics+AI+deeptech" TargetMode="External"/><Relationship Id="rId458" Type="http://schemas.openxmlformats.org/officeDocument/2006/relationships/hyperlink" Target="https://www.linkedin.com/search/results/people/?keywords=Alexander+Kudlich+angel+investor+robotics+AI+deeptech" TargetMode="External"/><Relationship Id="rId215" Type="http://schemas.openxmlformats.org/officeDocument/2006/relationships/hyperlink" Target="https://shizune.co/investors/angel-investors-united-kingdom" TargetMode="External"/><Relationship Id="rId457" Type="http://schemas.openxmlformats.org/officeDocument/2006/relationships/hyperlink" Target="https://shizune.co/investors/angel-investors-switzerland" TargetMode="External"/><Relationship Id="rId699" Type="http://schemas.openxmlformats.org/officeDocument/2006/relationships/hyperlink" Target="https://shizune.co/investors/artificial-intelligence-angel-investors-united-states" TargetMode="External"/><Relationship Id="rId214" Type="http://schemas.openxmlformats.org/officeDocument/2006/relationships/hyperlink" Target="https://www.linkedin.com/search/results/people/?keywords=Carlos+Gonzalez-Cadenas+angel+investor+robotics+AI+deeptech" TargetMode="External"/><Relationship Id="rId456" Type="http://schemas.openxmlformats.org/officeDocument/2006/relationships/hyperlink" Target="https://www.linkedin.com/search/results/people/?keywords=Roland+Zeller+angel+investor+robotics+AI+deeptech" TargetMode="External"/><Relationship Id="rId698" Type="http://schemas.openxmlformats.org/officeDocument/2006/relationships/hyperlink" Target="https://www.linkedin.com/search/results/people/?keywords=Alex+Rampell+angel+investor+robotics+AI+deeptech" TargetMode="External"/><Relationship Id="rId219" Type="http://schemas.openxmlformats.org/officeDocument/2006/relationships/hyperlink" Target="https://shizune.co/investors/angel-investors-united-kingdom" TargetMode="External"/><Relationship Id="rId218" Type="http://schemas.openxmlformats.org/officeDocument/2006/relationships/hyperlink" Target="https://www.linkedin.com/search/results/people/?keywords=Chris+Adelsbach+angel+investor+robotics+AI+deeptech" TargetMode="External"/><Relationship Id="rId451" Type="http://schemas.openxmlformats.org/officeDocument/2006/relationships/hyperlink" Target="https://shizune.co/investors/angel-investors-switzerland" TargetMode="External"/><Relationship Id="rId693" Type="http://schemas.openxmlformats.org/officeDocument/2006/relationships/hyperlink" Target="https://shizune.co/investors/artificial-intelligence-angel-investors-united-states" TargetMode="External"/><Relationship Id="rId450" Type="http://schemas.openxmlformats.org/officeDocument/2006/relationships/hyperlink" Target="https://www.linkedin.com/search/results/people/?keywords=Peter+Sch%C3%BCpbach+angel+investor+robotics+AI+deeptech" TargetMode="External"/><Relationship Id="rId692" Type="http://schemas.openxmlformats.org/officeDocument/2006/relationships/hyperlink" Target="https://www.linkedin.com/search/results/people/?keywords=Adam+D%27Angelo+angel+investor+robotics+AI+deeptech" TargetMode="External"/><Relationship Id="rId691" Type="http://schemas.openxmlformats.org/officeDocument/2006/relationships/hyperlink" Target="https://shizune.co/investors/artificial-intelligence-angel-investors-united-states" TargetMode="External"/><Relationship Id="rId690" Type="http://schemas.openxmlformats.org/officeDocument/2006/relationships/hyperlink" Target="https://www.linkedin.com/search/results/people/?keywords=Aarthi+Ramamurthy+angel+investor+robotics+AI+deeptech" TargetMode="External"/><Relationship Id="rId213" Type="http://schemas.openxmlformats.org/officeDocument/2006/relationships/hyperlink" Target="https://shizune.co/investors/angel-investors-united-kingdom" TargetMode="External"/><Relationship Id="rId455" Type="http://schemas.openxmlformats.org/officeDocument/2006/relationships/hyperlink" Target="https://shizune.co/investors/hardware-angel-investors-switzerland" TargetMode="External"/><Relationship Id="rId697" Type="http://schemas.openxmlformats.org/officeDocument/2006/relationships/hyperlink" Target="https://shizune.co/investors/artificial-intelligence-angel-investors-united-states" TargetMode="External"/><Relationship Id="rId212" Type="http://schemas.openxmlformats.org/officeDocument/2006/relationships/hyperlink" Target="https://www.linkedin.com/search/results/people/?keywords=Carlos+Eduardo+Espinal+angel+investor+robotics+AI+deeptech" TargetMode="External"/><Relationship Id="rId454" Type="http://schemas.openxmlformats.org/officeDocument/2006/relationships/hyperlink" Target="https://www.linkedin.com/search/results/people/?keywords=Roland+Siegwart+angel+investor+robotics+AI+deeptech" TargetMode="External"/><Relationship Id="rId696" Type="http://schemas.openxmlformats.org/officeDocument/2006/relationships/hyperlink" Target="https://www.linkedin.com/search/results/people/?keywords=Adeo+Ressi+angel+investor+robotics+AI+deeptech" TargetMode="External"/><Relationship Id="rId211" Type="http://schemas.openxmlformats.org/officeDocument/2006/relationships/hyperlink" Target="https://shizune.co/investors/hardware-angel-investors-united-kingdom" TargetMode="External"/><Relationship Id="rId453" Type="http://schemas.openxmlformats.org/officeDocument/2006/relationships/hyperlink" Target="https://shizune.co/investors/angel-investors-switzerland" TargetMode="External"/><Relationship Id="rId695" Type="http://schemas.openxmlformats.org/officeDocument/2006/relationships/hyperlink" Target="https://shizune.co/investors/artificial-intelligence-angel-investors-united-states" TargetMode="External"/><Relationship Id="rId210" Type="http://schemas.openxmlformats.org/officeDocument/2006/relationships/hyperlink" Target="https://www.linkedin.com/search/results/people/?keywords=Carl+Pei+angel+investor+robotics+AI+deeptech" TargetMode="External"/><Relationship Id="rId452" Type="http://schemas.openxmlformats.org/officeDocument/2006/relationships/hyperlink" Target="https://www.linkedin.com/search/results/people/?keywords=Reto+Ringger+angel+investor+robotics+AI+deeptech" TargetMode="External"/><Relationship Id="rId694" Type="http://schemas.openxmlformats.org/officeDocument/2006/relationships/hyperlink" Target="https://www.linkedin.com/search/results/people/?keywords=Adam+Nash+angel+investor+robotics+AI+deeptech" TargetMode="External"/><Relationship Id="rId491" Type="http://schemas.openxmlformats.org/officeDocument/2006/relationships/hyperlink" Target="https://shizune.co/investors/angel-investors-germany" TargetMode="External"/><Relationship Id="rId490" Type="http://schemas.openxmlformats.org/officeDocument/2006/relationships/hyperlink" Target="https://www.linkedin.com/search/results/people/?keywords=Mario+G%C3%B6tze+angel+investor+robotics+AI+deeptech" TargetMode="External"/><Relationship Id="rId249" Type="http://schemas.openxmlformats.org/officeDocument/2006/relationships/hyperlink" Target="https://shizune.co/investors/angel-investors-united-kingdom" TargetMode="External"/><Relationship Id="rId248" Type="http://schemas.openxmlformats.org/officeDocument/2006/relationships/hyperlink" Target="https://www.linkedin.com/search/results/people/?keywords=Eileen+Burbidge+angel+investor+robotics+AI+deeptech" TargetMode="External"/><Relationship Id="rId247" Type="http://schemas.openxmlformats.org/officeDocument/2006/relationships/hyperlink" Target="https://shizune.co/investors/angel-investors-united-kingdom" TargetMode="External"/><Relationship Id="rId489" Type="http://schemas.openxmlformats.org/officeDocument/2006/relationships/hyperlink" Target="https://shizune.co/investors/angel-investors-germany" TargetMode="External"/><Relationship Id="rId242" Type="http://schemas.openxmlformats.org/officeDocument/2006/relationships/hyperlink" Target="https://www.linkedin.com/search/results/people/?keywords=Duncan+Cheatle+angel+investor+robotics+AI+deeptech" TargetMode="External"/><Relationship Id="rId484" Type="http://schemas.openxmlformats.org/officeDocument/2006/relationships/hyperlink" Target="https://www.linkedin.com/search/results/people/?keywords=Lea-Sophie+Cramer+angel+investor+robotics+AI+deeptech" TargetMode="External"/><Relationship Id="rId241" Type="http://schemas.openxmlformats.org/officeDocument/2006/relationships/hyperlink" Target="https://shizune.co/investors/angel-investors-united-kingdom" TargetMode="External"/><Relationship Id="rId483" Type="http://schemas.openxmlformats.org/officeDocument/2006/relationships/hyperlink" Target="https://shizune.co/investors/angel-investors-germany" TargetMode="External"/><Relationship Id="rId240" Type="http://schemas.openxmlformats.org/officeDocument/2006/relationships/hyperlink" Target="https://www.linkedin.com/search/results/people/?keywords=Dimitris+Kouzelis+angel+investor+robotics+AI+deeptech" TargetMode="External"/><Relationship Id="rId482" Type="http://schemas.openxmlformats.org/officeDocument/2006/relationships/hyperlink" Target="https://www.linkedin.com/search/results/people/?keywords=Klaus+Hommels+angel+investor+robotics+AI+deeptech" TargetMode="External"/><Relationship Id="rId481" Type="http://schemas.openxmlformats.org/officeDocument/2006/relationships/hyperlink" Target="https://shizune.co/investors/angel-investors-germany" TargetMode="External"/><Relationship Id="rId246" Type="http://schemas.openxmlformats.org/officeDocument/2006/relationships/hyperlink" Target="https://www.linkedin.com/search/results/people/?keywords=Edward+Lando+angel+investor+robotics+AI+deeptech" TargetMode="External"/><Relationship Id="rId488" Type="http://schemas.openxmlformats.org/officeDocument/2006/relationships/hyperlink" Target="https://www.linkedin.com/search/results/people/?keywords=Marc+Samwer+angel+investor+robotics+AI+deeptech" TargetMode="External"/><Relationship Id="rId245" Type="http://schemas.openxmlformats.org/officeDocument/2006/relationships/hyperlink" Target="https://shizune.co/investors/angel-investors-united-kingdom" TargetMode="External"/><Relationship Id="rId487" Type="http://schemas.openxmlformats.org/officeDocument/2006/relationships/hyperlink" Target="https://shizune.co/investors/hardware-angel-investors-germany" TargetMode="External"/><Relationship Id="rId244" Type="http://schemas.openxmlformats.org/officeDocument/2006/relationships/hyperlink" Target="https://www.linkedin.com/search/results/people/?keywords=Duncan+Logan+angel+investor+robotics+AI+deeptech" TargetMode="External"/><Relationship Id="rId486" Type="http://schemas.openxmlformats.org/officeDocument/2006/relationships/hyperlink" Target="https://www.linkedin.com/search/results/people/?keywords=Lukasz+Gadowski+angel+investor+robotics+AI+deeptech" TargetMode="External"/><Relationship Id="rId243" Type="http://schemas.openxmlformats.org/officeDocument/2006/relationships/hyperlink" Target="https://shizune.co/investors/angel-investors-united-kingdom" TargetMode="External"/><Relationship Id="rId485" Type="http://schemas.openxmlformats.org/officeDocument/2006/relationships/hyperlink" Target="https://shizune.co/investors/angel-investors-germany" TargetMode="External"/><Relationship Id="rId480" Type="http://schemas.openxmlformats.org/officeDocument/2006/relationships/hyperlink" Target="https://www.linkedin.com/search/results/people/?keywords=Johannes+Reck+angel+investor+robotics+AI+deeptech" TargetMode="External"/><Relationship Id="rId239" Type="http://schemas.openxmlformats.org/officeDocument/2006/relationships/hyperlink" Target="https://shizune.co/investors/angel-investors-united-kingdom" TargetMode="External"/><Relationship Id="rId238" Type="http://schemas.openxmlformats.org/officeDocument/2006/relationships/hyperlink" Target="https://www.linkedin.com/search/results/people/?keywords=Didier+Valet+angel+investor+robotics+AI+deeptech" TargetMode="External"/><Relationship Id="rId237" Type="http://schemas.openxmlformats.org/officeDocument/2006/relationships/hyperlink" Target="https://shizune.co/investors/angel-investors-united-kingdom" TargetMode="External"/><Relationship Id="rId479" Type="http://schemas.openxmlformats.org/officeDocument/2006/relationships/hyperlink" Target="https://shizune.co/investors/angel-investors-germany" TargetMode="External"/><Relationship Id="rId236" Type="http://schemas.openxmlformats.org/officeDocument/2006/relationships/hyperlink" Target="https://www.linkedin.com/search/results/people/?keywords=Deepali+Nangia+angel+investor+robotics+AI+deeptech" TargetMode="External"/><Relationship Id="rId478" Type="http://schemas.openxmlformats.org/officeDocument/2006/relationships/hyperlink" Target="https://www.linkedin.com/search/results/people/?keywords=Jochen+Engert+angel+investor+robotics+AI+deeptech" TargetMode="External"/><Relationship Id="rId231" Type="http://schemas.openxmlformats.org/officeDocument/2006/relationships/hyperlink" Target="https://shizune.co/investors/angel-investors-united-kingdom" TargetMode="External"/><Relationship Id="rId473" Type="http://schemas.openxmlformats.org/officeDocument/2006/relationships/hyperlink" Target="https://shizune.co/investors/angel-investors-germany" TargetMode="External"/><Relationship Id="rId230" Type="http://schemas.openxmlformats.org/officeDocument/2006/relationships/hyperlink" Target="https://www.linkedin.com/search/results/people/?keywords=Daniel+Waterhouse+angel+investor+robotics+AI+deeptech" TargetMode="External"/><Relationship Id="rId472" Type="http://schemas.openxmlformats.org/officeDocument/2006/relationships/hyperlink" Target="https://www.linkedin.com/search/results/people/?keywords=Florian+Heinemann+angel+investor+robotics+AI+deeptech" TargetMode="External"/><Relationship Id="rId471" Type="http://schemas.openxmlformats.org/officeDocument/2006/relationships/hyperlink" Target="https://shizune.co/investors/angel-investors-germany" TargetMode="External"/><Relationship Id="rId470" Type="http://schemas.openxmlformats.org/officeDocument/2006/relationships/hyperlink" Target="https://www.linkedin.com/search/results/people/?keywords=Felix+Haas+angel+investor+robotics+AI+deeptech" TargetMode="External"/><Relationship Id="rId235" Type="http://schemas.openxmlformats.org/officeDocument/2006/relationships/hyperlink" Target="https://shizune.co/investors/angel-investors-united-kingdom" TargetMode="External"/><Relationship Id="rId477" Type="http://schemas.openxmlformats.org/officeDocument/2006/relationships/hyperlink" Target="https://shizune.co/investors/angel-investors-germany" TargetMode="External"/><Relationship Id="rId234" Type="http://schemas.openxmlformats.org/officeDocument/2006/relationships/hyperlink" Target="https://www.linkedin.com/search/results/people/?keywords=Debbie+Wosskow+angel+investor+robotics+AI+deeptech" TargetMode="External"/><Relationship Id="rId476" Type="http://schemas.openxmlformats.org/officeDocument/2006/relationships/hyperlink" Target="https://www.linkedin.com/search/results/people/?keywords=Jens+Begemann+angel+investor+robotics+AI+deeptech" TargetMode="External"/><Relationship Id="rId233" Type="http://schemas.openxmlformats.org/officeDocument/2006/relationships/hyperlink" Target="https://shizune.co/investors/angel-investors-united-kingdom" TargetMode="External"/><Relationship Id="rId475" Type="http://schemas.openxmlformats.org/officeDocument/2006/relationships/hyperlink" Target="https://shizune.co/investors/angel-investors-germany" TargetMode="External"/><Relationship Id="rId232" Type="http://schemas.openxmlformats.org/officeDocument/2006/relationships/hyperlink" Target="https://www.linkedin.com/search/results/people/?keywords=David+Rowan+angel+investor+robotics+AI+deeptech" TargetMode="External"/><Relationship Id="rId474" Type="http://schemas.openxmlformats.org/officeDocument/2006/relationships/hyperlink" Target="https://www.linkedin.com/search/results/people/?keywords=Hanno+Renner+angel+investor+robotics+AI+deeptech" TargetMode="External"/><Relationship Id="rId426" Type="http://schemas.openxmlformats.org/officeDocument/2006/relationships/hyperlink" Target="https://www.linkedin.com/search/results/people/?keywords=Kibo+Ventures+angels+angel+investor+robotics+AI+deeptech" TargetMode="External"/><Relationship Id="rId668" Type="http://schemas.openxmlformats.org/officeDocument/2006/relationships/hyperlink" Target="https://www.linkedin.com/search/results/people/?keywords=Oussama+Ammar+angel+investor+robotics+AI+deeptech" TargetMode="External"/><Relationship Id="rId425" Type="http://schemas.openxmlformats.org/officeDocument/2006/relationships/hyperlink" Target="https://shizune.co/investors/angel-investors-spain" TargetMode="External"/><Relationship Id="rId667" Type="http://schemas.openxmlformats.org/officeDocument/2006/relationships/hyperlink" Target="https://shizune.co/investors/angel-investors-france" TargetMode="External"/><Relationship Id="rId424" Type="http://schemas.openxmlformats.org/officeDocument/2006/relationships/hyperlink" Target="https://www.linkedin.com/search/results/people/?keywords=Jose+Marin+angel+investor+robotics+AI+deeptech" TargetMode="External"/><Relationship Id="rId666" Type="http://schemas.openxmlformats.org/officeDocument/2006/relationships/hyperlink" Target="https://www.linkedin.com/search/results/people/?keywords=Nicolas+Brusson+angel+investor+robotics+AI+deeptech" TargetMode="External"/><Relationship Id="rId423" Type="http://schemas.openxmlformats.org/officeDocument/2006/relationships/hyperlink" Target="https://shizune.co/investors/angel-investors-spain" TargetMode="External"/><Relationship Id="rId665" Type="http://schemas.openxmlformats.org/officeDocument/2006/relationships/hyperlink" Target="https://shizune.co/investors/angel-investors-france" TargetMode="External"/><Relationship Id="rId429" Type="http://schemas.openxmlformats.org/officeDocument/2006/relationships/hyperlink" Target="https://shizune.co/investors/angel-investors-spain" TargetMode="External"/><Relationship Id="rId428" Type="http://schemas.openxmlformats.org/officeDocument/2006/relationships/hyperlink" Target="https://www.linkedin.com/search/results/people/?keywords=Luis+Cabiedes+angel+investor+robotics+AI+deeptech" TargetMode="External"/><Relationship Id="rId427" Type="http://schemas.openxmlformats.org/officeDocument/2006/relationships/hyperlink" Target="https://shizune.co/investors/angel-investors-spain" TargetMode="External"/><Relationship Id="rId669" Type="http://schemas.openxmlformats.org/officeDocument/2006/relationships/hyperlink" Target="https://shizune.co/investors/angel-investors-france" TargetMode="External"/><Relationship Id="rId660" Type="http://schemas.openxmlformats.org/officeDocument/2006/relationships/hyperlink" Target="https://www.linkedin.com/search/results/people/?keywords=Jean-David+Chamboredon+angel+investor+robotics+AI+deeptech" TargetMode="External"/><Relationship Id="rId422" Type="http://schemas.openxmlformats.org/officeDocument/2006/relationships/hyperlink" Target="https://www.linkedin.com/search/results/people/?keywords=Jes%C3%BAs+Encinar+angel+investor+robotics+AI+deeptech" TargetMode="External"/><Relationship Id="rId664" Type="http://schemas.openxmlformats.org/officeDocument/2006/relationships/hyperlink" Target="https://www.linkedin.com/search/results/people/?keywords=Marie+Ekeland+angel+investor+robotics+AI+deeptech" TargetMode="External"/><Relationship Id="rId421" Type="http://schemas.openxmlformats.org/officeDocument/2006/relationships/hyperlink" Target="https://shizune.co/investors/angel-investors-spain" TargetMode="External"/><Relationship Id="rId663" Type="http://schemas.openxmlformats.org/officeDocument/2006/relationships/hyperlink" Target="https://shizune.co/investors/angel-investors-france" TargetMode="External"/><Relationship Id="rId420" Type="http://schemas.openxmlformats.org/officeDocument/2006/relationships/hyperlink" Target="https://www.linkedin.com/search/results/people/?keywords=Javier+Megias+angel+investor+robotics+AI+deeptech" TargetMode="External"/><Relationship Id="rId662" Type="http://schemas.openxmlformats.org/officeDocument/2006/relationships/hyperlink" Target="https://www.linkedin.com/search/results/people/?keywords=Marc+Simoncini+angel+investor+robotics+AI+deeptech" TargetMode="External"/><Relationship Id="rId661" Type="http://schemas.openxmlformats.org/officeDocument/2006/relationships/hyperlink" Target="https://shizune.co/investors/angel-investors-france" TargetMode="External"/><Relationship Id="rId415" Type="http://schemas.openxmlformats.org/officeDocument/2006/relationships/hyperlink" Target="https://shizune.co/investors/angel-investors-spain" TargetMode="External"/><Relationship Id="rId657" Type="http://schemas.openxmlformats.org/officeDocument/2006/relationships/hyperlink" Target="https://shizune.co/investors/artificial-intelligence-angel-investors-europe" TargetMode="External"/><Relationship Id="rId899" Type="http://schemas.openxmlformats.org/officeDocument/2006/relationships/hyperlink" Target="https://shizune.co/investors/artificial-intelligence-angel-investors-united-states" TargetMode="External"/><Relationship Id="rId414" Type="http://schemas.openxmlformats.org/officeDocument/2006/relationships/hyperlink" Target="https://www.linkedin.com/search/results/people/?keywords=Faraday+Venture+Partners+angel+investor+robotics+AI+deeptech" TargetMode="External"/><Relationship Id="rId656" Type="http://schemas.openxmlformats.org/officeDocument/2006/relationships/hyperlink" Target="https://www.linkedin.com/search/results/people/?keywords=Ragnar+Sass+angel+investor+robotics+AI+deeptech" TargetMode="External"/><Relationship Id="rId898" Type="http://schemas.openxmlformats.org/officeDocument/2006/relationships/hyperlink" Target="https://www.linkedin.com/search/results/people/?keywords=Rana+el+Kaliouby+angel+investor+robotics+AI+deeptech" TargetMode="External"/><Relationship Id="rId413" Type="http://schemas.openxmlformats.org/officeDocument/2006/relationships/hyperlink" Target="https://shizune.co/investors/angel-investors-spain" TargetMode="External"/><Relationship Id="rId655" Type="http://schemas.openxmlformats.org/officeDocument/2006/relationships/hyperlink" Target="https://shizune.co/investors/artificial-intelligence-angel-investors-europe" TargetMode="External"/><Relationship Id="rId897" Type="http://schemas.openxmlformats.org/officeDocument/2006/relationships/hyperlink" Target="https://shizune.co/investors/artificial-intelligence-angel-investors-united-states" TargetMode="External"/><Relationship Id="rId412" Type="http://schemas.openxmlformats.org/officeDocument/2006/relationships/hyperlink" Target="https://www.linkedin.com/search/results/people/?keywords=Eneko+Knorr+angel+investor+robotics+AI+deeptech" TargetMode="External"/><Relationship Id="rId654" Type="http://schemas.openxmlformats.org/officeDocument/2006/relationships/hyperlink" Target="https://www.linkedin.com/search/results/people/?keywords=Patrick+Pichette+angel+investor+robotics+AI+deeptech" TargetMode="External"/><Relationship Id="rId896" Type="http://schemas.openxmlformats.org/officeDocument/2006/relationships/hyperlink" Target="https://www.linkedin.com/search/results/people/?keywords=Ram+Shriram+angel+investor+robotics+AI+deeptech" TargetMode="External"/><Relationship Id="rId419" Type="http://schemas.openxmlformats.org/officeDocument/2006/relationships/hyperlink" Target="https://shizune.co/investors/angel-investors-spain" TargetMode="External"/><Relationship Id="rId418" Type="http://schemas.openxmlformats.org/officeDocument/2006/relationships/hyperlink" Target="https://www.linkedin.com/search/results/people/?keywords=IESE+BAN+lead+angels+angel+investor+robotics+AI+deeptech" TargetMode="External"/><Relationship Id="rId417" Type="http://schemas.openxmlformats.org/officeDocument/2006/relationships/hyperlink" Target="https://shizune.co/investors/angel-investors-spain" TargetMode="External"/><Relationship Id="rId659" Type="http://schemas.openxmlformats.org/officeDocument/2006/relationships/hyperlink" Target="https://shizune.co/investors/angel-investors-france" TargetMode="External"/><Relationship Id="rId416" Type="http://schemas.openxmlformats.org/officeDocument/2006/relationships/hyperlink" Target="https://www.linkedin.com/search/results/people/?keywords=Fran%C3%A7ois+Derbaix+angel+investor+robotics+AI+deeptech" TargetMode="External"/><Relationship Id="rId658" Type="http://schemas.openxmlformats.org/officeDocument/2006/relationships/hyperlink" Target="https://www.linkedin.com/search/results/people/?keywords=Fr%C3%A9d%C3%A9ric+Mazzella+angel+investor+robotics+AI+deeptech" TargetMode="External"/><Relationship Id="rId891" Type="http://schemas.openxmlformats.org/officeDocument/2006/relationships/hyperlink" Target="https://shizune.co/investors/artificial-intelligence-angel-investors-united-states" TargetMode="External"/><Relationship Id="rId890" Type="http://schemas.openxmlformats.org/officeDocument/2006/relationships/hyperlink" Target="https://www.linkedin.com/search/results/people/?keywords=Patrick+Collison+angel+investor+robotics+AI+deeptech" TargetMode="External"/><Relationship Id="rId411" Type="http://schemas.openxmlformats.org/officeDocument/2006/relationships/hyperlink" Target="https://shizune.co/investors/angel-investors-spain" TargetMode="External"/><Relationship Id="rId653" Type="http://schemas.openxmlformats.org/officeDocument/2006/relationships/hyperlink" Target="https://shizune.co/investors/artificial-intelligence-angel-investors-europe" TargetMode="External"/><Relationship Id="rId895" Type="http://schemas.openxmlformats.org/officeDocument/2006/relationships/hyperlink" Target="https://shizune.co/investors/artificial-intelligence-angel-investors-united-states" TargetMode="External"/><Relationship Id="rId410" Type="http://schemas.openxmlformats.org/officeDocument/2006/relationships/hyperlink" Target="https://www.linkedin.com/search/results/people/?keywords=ESADE+BAN+lead+angels+angel+investor+robotics+AI+deeptech" TargetMode="External"/><Relationship Id="rId652" Type="http://schemas.openxmlformats.org/officeDocument/2006/relationships/hyperlink" Target="https://www.linkedin.com/search/results/people/?keywords=Markus+Villig+angel+investor+robotics+AI+deeptech" TargetMode="External"/><Relationship Id="rId894" Type="http://schemas.openxmlformats.org/officeDocument/2006/relationships/hyperlink" Target="https://www.linkedin.com/search/results/people/?keywords=Paul+Graham+angel+investor+robotics+AI+deeptech" TargetMode="External"/><Relationship Id="rId651" Type="http://schemas.openxmlformats.org/officeDocument/2006/relationships/hyperlink" Target="https://shizune.co/investors/angel-investors-united-kingdom" TargetMode="External"/><Relationship Id="rId893" Type="http://schemas.openxmlformats.org/officeDocument/2006/relationships/hyperlink" Target="https://shizune.co/investors/artificial-intelligence-angel-investors-united-states" TargetMode="External"/><Relationship Id="rId650" Type="http://schemas.openxmlformats.org/officeDocument/2006/relationships/hyperlink" Target="https://www.linkedin.com/search/results/people/?keywords=Investment+Lead+%2F+Angel+Member+Search+angel+investor+robotics+AI+deeptech" TargetMode="External"/><Relationship Id="rId892" Type="http://schemas.openxmlformats.org/officeDocument/2006/relationships/hyperlink" Target="https://www.linkedin.com/search/results/people/?keywords=Paul+Buchheit+angel+investor+robotics+AI+deeptech" TargetMode="External"/><Relationship Id="rId206" Type="http://schemas.openxmlformats.org/officeDocument/2006/relationships/hyperlink" Target="https://www.linkedin.com/search/results/people/?keywords=Andy+Phillipps+angel+investor+robotics+AI+deeptech" TargetMode="External"/><Relationship Id="rId448" Type="http://schemas.openxmlformats.org/officeDocument/2006/relationships/hyperlink" Target="https://www.linkedin.com/search/results/people/?keywords=Martin+Saidler+angel+investor+robotics+AI+deeptech" TargetMode="External"/><Relationship Id="rId205" Type="http://schemas.openxmlformats.org/officeDocument/2006/relationships/hyperlink" Target="https://shizune.co/investors/angel-investors-united-kingdom" TargetMode="External"/><Relationship Id="rId447" Type="http://schemas.openxmlformats.org/officeDocument/2006/relationships/hyperlink" Target="https://shizune.co/investors/hardware-angel-investors-switzerland" TargetMode="External"/><Relationship Id="rId689" Type="http://schemas.openxmlformats.org/officeDocument/2006/relationships/hyperlink" Target="https://shizune.co/investors/artificial-intelligence-angel-investors-united-states" TargetMode="External"/><Relationship Id="rId204" Type="http://schemas.openxmlformats.org/officeDocument/2006/relationships/hyperlink" Target="https://www.linkedin.com/search/results/people/?keywords=Andy+Ayim+angel+investor+robotics+AI+deeptech" TargetMode="External"/><Relationship Id="rId446" Type="http://schemas.openxmlformats.org/officeDocument/2006/relationships/hyperlink" Target="https://www.linkedin.com/search/results/people/?keywords=Marco+Hutter+angel+investor+robotics+AI+deeptech" TargetMode="External"/><Relationship Id="rId688" Type="http://schemas.openxmlformats.org/officeDocument/2006/relationships/hyperlink" Target="https://www.linkedin.com/search/results/people/?keywords=Aaron+Levie+angel+investor+robotics+AI+deeptech" TargetMode="External"/><Relationship Id="rId203" Type="http://schemas.openxmlformats.org/officeDocument/2006/relationships/hyperlink" Target="https://shizune.co/investors/angel-investors-united-kingdom" TargetMode="External"/><Relationship Id="rId445" Type="http://schemas.openxmlformats.org/officeDocument/2006/relationships/hyperlink" Target="https://shizune.co/investors/angel-investors-switzerland" TargetMode="External"/><Relationship Id="rId687" Type="http://schemas.openxmlformats.org/officeDocument/2006/relationships/hyperlink" Target="https://shizune.co/investors/angel-investors-norway" TargetMode="External"/><Relationship Id="rId209" Type="http://schemas.openxmlformats.org/officeDocument/2006/relationships/hyperlink" Target="https://shizune.co/investors/angel-investors-united-kingdom" TargetMode="External"/><Relationship Id="rId208" Type="http://schemas.openxmlformats.org/officeDocument/2006/relationships/hyperlink" Target="https://www.linkedin.com/search/results/people/?keywords=Anne+Glover+angel+investor+robotics+AI+deeptech" TargetMode="External"/><Relationship Id="rId207" Type="http://schemas.openxmlformats.org/officeDocument/2006/relationships/hyperlink" Target="https://shizune.co/investors/angel-investors-united-kingdom" TargetMode="External"/><Relationship Id="rId449" Type="http://schemas.openxmlformats.org/officeDocument/2006/relationships/hyperlink" Target="https://shizune.co/investors/angel-investors-switzerland" TargetMode="External"/><Relationship Id="rId440" Type="http://schemas.openxmlformats.org/officeDocument/2006/relationships/hyperlink" Target="https://www.linkedin.com/search/results/people/?keywords=David+Studer+angel+investor+robotics+AI+deeptech" TargetMode="External"/><Relationship Id="rId682" Type="http://schemas.openxmlformats.org/officeDocument/2006/relationships/hyperlink" Target="https://www.linkedin.com/search/results/people/?keywords=Eilert+Hanoa+angel+investor+robotics+AI+deeptech" TargetMode="External"/><Relationship Id="rId681" Type="http://schemas.openxmlformats.org/officeDocument/2006/relationships/hyperlink" Target="https://shizune.co/investors/angel-investors-denmark" TargetMode="External"/><Relationship Id="rId680" Type="http://schemas.openxmlformats.org/officeDocument/2006/relationships/hyperlink" Target="https://www.linkedin.com/search/results/people/?keywords=Tommy+Ahlers+angel+investor+robotics+AI+deeptech" TargetMode="External"/><Relationship Id="rId202" Type="http://schemas.openxmlformats.org/officeDocument/2006/relationships/hyperlink" Target="https://www.linkedin.com/search/results/people/?keywords=Andrew+Weisz+angel+investor+robotics+AI+deeptech" TargetMode="External"/><Relationship Id="rId444" Type="http://schemas.openxmlformats.org/officeDocument/2006/relationships/hyperlink" Target="https://www.linkedin.com/search/results/people/?keywords=Marc+Bernegger+angel+investor+robotics+AI+deeptech" TargetMode="External"/><Relationship Id="rId686" Type="http://schemas.openxmlformats.org/officeDocument/2006/relationships/hyperlink" Target="https://www.linkedin.com/search/results/people/?keywords=Martin+Hauge+angel+investor+robotics+AI+deeptech" TargetMode="External"/><Relationship Id="rId201" Type="http://schemas.openxmlformats.org/officeDocument/2006/relationships/hyperlink" Target="https://shizune.co/investors/angel-investors-united-kingdom" TargetMode="External"/><Relationship Id="rId443" Type="http://schemas.openxmlformats.org/officeDocument/2006/relationships/hyperlink" Target="https://shizune.co/investors/hardware-angel-investors-switzerland" TargetMode="External"/><Relationship Id="rId685" Type="http://schemas.openxmlformats.org/officeDocument/2006/relationships/hyperlink" Target="https://shizune.co/investors/angel-investors-norway" TargetMode="External"/><Relationship Id="rId200" Type="http://schemas.openxmlformats.org/officeDocument/2006/relationships/hyperlink" Target="https://www.linkedin.com/search/results/people/?keywords=Alexander+Chesterman+angel+investor+robotics+AI+deeptech" TargetMode="External"/><Relationship Id="rId442" Type="http://schemas.openxmlformats.org/officeDocument/2006/relationships/hyperlink" Target="https://www.linkedin.com/search/results/people/?keywords=Davide+Scaramuzza+angel+investor+robotics+AI+deeptech" TargetMode="External"/><Relationship Id="rId684" Type="http://schemas.openxmlformats.org/officeDocument/2006/relationships/hyperlink" Target="https://www.linkedin.com/search/results/people/?keywords=Johan+Brand+angel+investor+robotics+AI+deeptech" TargetMode="External"/><Relationship Id="rId441" Type="http://schemas.openxmlformats.org/officeDocument/2006/relationships/hyperlink" Target="https://shizune.co/investors/angel-investors-switzerland" TargetMode="External"/><Relationship Id="rId683" Type="http://schemas.openxmlformats.org/officeDocument/2006/relationships/hyperlink" Target="https://shizune.co/investors/angel-investors-norway" TargetMode="External"/><Relationship Id="rId437" Type="http://schemas.openxmlformats.org/officeDocument/2006/relationships/hyperlink" Target="https://shizune.co/investors/angel-investors-switzerland" TargetMode="External"/><Relationship Id="rId679" Type="http://schemas.openxmlformats.org/officeDocument/2006/relationships/hyperlink" Target="https://shizune.co/investors/angel-investors-denmark" TargetMode="External"/><Relationship Id="rId436" Type="http://schemas.openxmlformats.org/officeDocument/2006/relationships/hyperlink" Target="https://www.linkedin.com/search/results/people/?keywords=Christoph+Jost+angel+investor+robotics+AI+deeptech" TargetMode="External"/><Relationship Id="rId678" Type="http://schemas.openxmlformats.org/officeDocument/2006/relationships/hyperlink" Target="https://www.linkedin.com/search/results/people/?keywords=Morten+Lund+angel+investor+robotics+AI+deeptech" TargetMode="External"/><Relationship Id="rId435" Type="http://schemas.openxmlformats.org/officeDocument/2006/relationships/hyperlink" Target="https://shizune.co/investors/angel-investors-switzerland" TargetMode="External"/><Relationship Id="rId677" Type="http://schemas.openxmlformats.org/officeDocument/2006/relationships/hyperlink" Target="https://shizune.co/investors/angel-investors-denmark" TargetMode="External"/><Relationship Id="rId434" Type="http://schemas.openxmlformats.org/officeDocument/2006/relationships/hyperlink" Target="https://www.linkedin.com/search/results/people/?keywords=Ariel+L%C3%BCdi+angel+investor+robotics+AI+deeptech" TargetMode="External"/><Relationship Id="rId676" Type="http://schemas.openxmlformats.org/officeDocument/2006/relationships/hyperlink" Target="https://www.linkedin.com/search/results/people/?keywords=David+Helgason+angel+investor+robotics+AI+deeptech" TargetMode="External"/><Relationship Id="rId439" Type="http://schemas.openxmlformats.org/officeDocument/2006/relationships/hyperlink" Target="https://shizune.co/investors/angel-investors-switzerland" TargetMode="External"/><Relationship Id="rId438" Type="http://schemas.openxmlformats.org/officeDocument/2006/relationships/hyperlink" Target="https://www.linkedin.com/search/results/people/?keywords=Daniel+Gutenberg+angel+investor+robotics+AI+deeptech" TargetMode="External"/><Relationship Id="rId671" Type="http://schemas.openxmlformats.org/officeDocument/2006/relationships/hyperlink" Target="https://shizune.co/investors/angel-investors-france" TargetMode="External"/><Relationship Id="rId670" Type="http://schemas.openxmlformats.org/officeDocument/2006/relationships/hyperlink" Target="https://www.linkedin.com/search/results/people/?keywords=Pierre+Kosciusko-Morizet+angel+investor+robotics+AI+deeptech" TargetMode="External"/><Relationship Id="rId433" Type="http://schemas.openxmlformats.org/officeDocument/2006/relationships/hyperlink" Target="https://shizune.co/investors/angel-investors-spain" TargetMode="External"/><Relationship Id="rId675" Type="http://schemas.openxmlformats.org/officeDocument/2006/relationships/hyperlink" Target="https://shizune.co/investors/angel-investors-austria" TargetMode="External"/><Relationship Id="rId432" Type="http://schemas.openxmlformats.org/officeDocument/2006/relationships/hyperlink" Target="https://www.linkedin.com/search/results/people/?keywords=Vicente+Arias+angel+investor+robotics+AI+deeptech" TargetMode="External"/><Relationship Id="rId674" Type="http://schemas.openxmlformats.org/officeDocument/2006/relationships/hyperlink" Target="https://www.linkedin.com/search/results/people/?keywords=Michael+Altrichter+angel+investor+robotics+AI+deeptech" TargetMode="External"/><Relationship Id="rId431" Type="http://schemas.openxmlformats.org/officeDocument/2006/relationships/hyperlink" Target="https://shizune.co/investors/angel-investors-spain" TargetMode="External"/><Relationship Id="rId673" Type="http://schemas.openxmlformats.org/officeDocument/2006/relationships/hyperlink" Target="https://shizune.co/investors/angel-investors-austria" TargetMode="External"/><Relationship Id="rId430" Type="http://schemas.openxmlformats.org/officeDocument/2006/relationships/hyperlink" Target="https://www.linkedin.com/search/results/people/?keywords=Rodrigo+Martinez+angel+investor+robotics+AI+deeptech" TargetMode="External"/><Relationship Id="rId672" Type="http://schemas.openxmlformats.org/officeDocument/2006/relationships/hyperlink" Target="https://www.linkedin.com/search/results/people/?keywords=Hansi+Hansmann+angel+investor+robotics+AI+deeptech"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90.0"/>
    <col customWidth="1" min="3" max="6" width="8.63"/>
  </cols>
  <sheetData>
    <row r="1">
      <c r="A1" s="1" t="s">
        <v>0</v>
      </c>
      <c r="B1" s="1"/>
    </row>
    <row r="2">
      <c r="A2" s="3" t="s">
        <v>2</v>
      </c>
      <c r="B2" s="5" t="s">
        <v>4</v>
      </c>
    </row>
    <row r="3">
      <c r="A3" s="3" t="s">
        <v>6</v>
      </c>
      <c r="B3" s="5" t="s">
        <v>8</v>
      </c>
    </row>
    <row r="4">
      <c r="A4" s="3" t="s">
        <v>9</v>
      </c>
      <c r="B4" s="5" t="s">
        <v>11</v>
      </c>
    </row>
    <row r="5">
      <c r="A5" s="3" t="s">
        <v>12</v>
      </c>
      <c r="B5" s="5" t="s">
        <v>13</v>
      </c>
    </row>
    <row r="6">
      <c r="A6" s="3" t="s">
        <v>14</v>
      </c>
      <c r="B6" s="5" t="s">
        <v>15</v>
      </c>
    </row>
    <row r="7">
      <c r="A7" s="3" t="s">
        <v>16</v>
      </c>
      <c r="B7" s="5" t="s">
        <v>17</v>
      </c>
    </row>
    <row r="8">
      <c r="A8" s="3" t="s">
        <v>18</v>
      </c>
      <c r="B8" s="5" t="s">
        <v>19</v>
      </c>
    </row>
    <row r="9">
      <c r="A9" s="3" t="s">
        <v>20</v>
      </c>
      <c r="B9" s="5" t="s">
        <v>21</v>
      </c>
    </row>
    <row r="10">
      <c r="A10" s="6" t="s">
        <v>22</v>
      </c>
      <c r="B10" s="6" t="s">
        <v>23</v>
      </c>
    </row>
    <row r="11">
      <c r="A11" s="7" t="s">
        <v>24</v>
      </c>
      <c r="B11" s="7" t="s">
        <v>26</v>
      </c>
    </row>
    <row r="12">
      <c r="A12" s="7" t="s">
        <v>27</v>
      </c>
      <c r="B12" s="7" t="s">
        <v>28</v>
      </c>
    </row>
    <row r="13">
      <c r="A13" s="7" t="s">
        <v>29</v>
      </c>
      <c r="B13" s="7" t="s">
        <v>30</v>
      </c>
    </row>
    <row r="14">
      <c r="A14" s="7" t="s">
        <v>32</v>
      </c>
      <c r="B14" s="7" t="s">
        <v>33</v>
      </c>
    </row>
    <row r="15">
      <c r="A15" s="7" t="s">
        <v>35</v>
      </c>
      <c r="B15" s="7" t="s">
        <v>21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8" width="20.0"/>
  </cols>
  <sheetData>
    <row r="1">
      <c r="A1" s="2" t="s">
        <v>1</v>
      </c>
      <c r="B1" s="2"/>
      <c r="D1" s="4" t="s">
        <v>3</v>
      </c>
      <c r="E1" s="4" t="s">
        <v>5</v>
      </c>
      <c r="G1" s="4" t="s">
        <v>7</v>
      </c>
      <c r="H1" s="4" t="s">
        <v>5</v>
      </c>
    </row>
    <row r="2">
      <c r="A2" s="3" t="s">
        <v>10</v>
      </c>
      <c r="B2" s="5">
        <f>COUNTA('All contacts'!$B$2:$B$224)</f>
        <v>223</v>
      </c>
      <c r="D2" s="5" t="s">
        <v>31</v>
      </c>
      <c r="E2" s="5">
        <f>COUNTIF('All contacts'!$E$2:$E$224,D2)</f>
        <v>21</v>
      </c>
      <c r="G2" s="5" t="s">
        <v>46</v>
      </c>
      <c r="H2" s="5">
        <f t="shared" ref="H2:H17" si="1">COUNTIF(#REF!,G2)</f>
        <v>0</v>
      </c>
    </row>
    <row r="3">
      <c r="A3" s="3" t="s">
        <v>59</v>
      </c>
      <c r="B3" s="5">
        <f>COUNTIF('All contacts'!$A$2:$A$224,"A")</f>
        <v>206</v>
      </c>
      <c r="D3" s="5" t="s">
        <v>70</v>
      </c>
      <c r="E3" s="5">
        <f>COUNTIF('All contacts'!$E$2:$E$224,D3)</f>
        <v>2</v>
      </c>
      <c r="G3" s="5" t="s">
        <v>77</v>
      </c>
      <c r="H3" s="5">
        <f t="shared" si="1"/>
        <v>0</v>
      </c>
    </row>
    <row r="4">
      <c r="A4" s="3" t="s">
        <v>79</v>
      </c>
      <c r="B4" s="5">
        <f>COUNTIF('All contacts'!$A$2:$A$224,"B")</f>
        <v>1</v>
      </c>
      <c r="D4" s="5" t="s">
        <v>83</v>
      </c>
      <c r="E4" s="5">
        <f>COUNTIF('All contacts'!$E$2:$E$224,D4)</f>
        <v>4</v>
      </c>
      <c r="G4" s="5" t="s">
        <v>86</v>
      </c>
      <c r="H4" s="5">
        <f t="shared" si="1"/>
        <v>0</v>
      </c>
    </row>
    <row r="5">
      <c r="A5" s="3" t="s">
        <v>88</v>
      </c>
      <c r="B5" s="5">
        <f>COUNTIF('All contacts'!$A$2:$A$224,"C")</f>
        <v>0</v>
      </c>
      <c r="D5" s="5" t="s">
        <v>92</v>
      </c>
      <c r="E5" s="5">
        <f>COUNTIF('All contacts'!$E$2:$E$224,D5)</f>
        <v>3</v>
      </c>
      <c r="G5" s="5" t="s">
        <v>97</v>
      </c>
      <c r="H5" s="5">
        <f t="shared" si="1"/>
        <v>0</v>
      </c>
    </row>
    <row r="6">
      <c r="A6" s="3" t="s">
        <v>99</v>
      </c>
      <c r="B6" s="5">
        <f>COUNTIF(#REF!,"Not contacted")</f>
        <v>0</v>
      </c>
      <c r="D6" s="5" t="s">
        <v>102</v>
      </c>
      <c r="E6" s="5">
        <f>COUNTIF('All contacts'!$E$2:$E$224,D6)</f>
        <v>0</v>
      </c>
      <c r="G6" s="5" t="s">
        <v>106</v>
      </c>
      <c r="H6" s="5">
        <f t="shared" si="1"/>
        <v>0</v>
      </c>
    </row>
    <row r="7">
      <c r="A7" s="3" t="s">
        <v>109</v>
      </c>
      <c r="B7" s="5">
        <f>COUNTIF(#REF!,"Added as contact")</f>
        <v>0</v>
      </c>
      <c r="D7" s="5" t="s">
        <v>112</v>
      </c>
      <c r="E7" s="5">
        <f>COUNTIF('All contacts'!$E$2:$E$224,D7)</f>
        <v>10</v>
      </c>
      <c r="G7" s="5" t="s">
        <v>116</v>
      </c>
      <c r="H7" s="5">
        <f t="shared" si="1"/>
        <v>0</v>
      </c>
    </row>
    <row r="8">
      <c r="A8" s="3" t="s">
        <v>118</v>
      </c>
      <c r="B8" s="5">
        <f>COUNTIF(#REF!,"Connection completed")</f>
        <v>0</v>
      </c>
      <c r="D8" s="5" t="s">
        <v>121</v>
      </c>
      <c r="E8" s="5">
        <f>COUNTIF('All contacts'!$E$2:$E$224,D8)</f>
        <v>13</v>
      </c>
      <c r="G8" s="5" t="s">
        <v>128</v>
      </c>
      <c r="H8" s="5">
        <f t="shared" si="1"/>
        <v>0</v>
      </c>
    </row>
    <row r="9">
      <c r="A9" s="3" t="s">
        <v>91</v>
      </c>
      <c r="B9" s="5">
        <f>COUNTIF(#REF!,"Longer message sent")</f>
        <v>0</v>
      </c>
      <c r="D9" s="5" t="s">
        <v>136</v>
      </c>
      <c r="E9" s="5">
        <f>COUNTIF('All contacts'!$E$2:$E$224,D9)</f>
        <v>3</v>
      </c>
      <c r="G9" s="5" t="s">
        <v>140</v>
      </c>
      <c r="H9" s="5">
        <f t="shared" si="1"/>
        <v>0</v>
      </c>
    </row>
    <row r="10">
      <c r="A10" s="3" t="s">
        <v>129</v>
      </c>
      <c r="B10" s="5">
        <f>COUNTIF(#REF!,"Call booked")</f>
        <v>0</v>
      </c>
      <c r="D10" s="5" t="s">
        <v>141</v>
      </c>
      <c r="E10" s="5">
        <f>COUNTIF('All contacts'!$E$2:$E$224,D10)</f>
        <v>5</v>
      </c>
      <c r="G10" s="5" t="s">
        <v>142</v>
      </c>
      <c r="H10" s="5">
        <f t="shared" si="1"/>
        <v>0</v>
      </c>
    </row>
    <row r="11">
      <c r="A11" s="3" t="s">
        <v>130</v>
      </c>
      <c r="B11" s="5">
        <f>COUNTIF(#REF!,"Proposal sent")</f>
        <v>0</v>
      </c>
      <c r="D11" s="5" t="s">
        <v>146</v>
      </c>
      <c r="E11" s="5">
        <f>COUNTIF('All contacts'!$E$2:$E$224,D11)</f>
        <v>3</v>
      </c>
      <c r="G11" s="5" t="s">
        <v>148</v>
      </c>
      <c r="H11" s="5">
        <f t="shared" si="1"/>
        <v>0</v>
      </c>
    </row>
    <row r="12">
      <c r="D12" s="5" t="s">
        <v>56</v>
      </c>
      <c r="E12" s="5">
        <f>COUNTIF('All contacts'!$E$2:$E$224,D12)</f>
        <v>0</v>
      </c>
      <c r="G12" s="5" t="s">
        <v>150</v>
      </c>
      <c r="H12" s="5">
        <f t="shared" si="1"/>
        <v>0</v>
      </c>
    </row>
    <row r="13">
      <c r="D13" s="5" t="s">
        <v>151</v>
      </c>
      <c r="E13" s="5">
        <f>COUNTIF('All contacts'!$E$2:$E$224,D13)</f>
        <v>0</v>
      </c>
      <c r="G13" s="5" t="s">
        <v>152</v>
      </c>
      <c r="H13" s="5">
        <f t="shared" si="1"/>
        <v>0</v>
      </c>
    </row>
    <row r="14">
      <c r="D14" s="5" t="s">
        <v>154</v>
      </c>
      <c r="E14" s="5">
        <f>COUNTIF('All contacts'!$E$2:$E$224,D14)</f>
        <v>0</v>
      </c>
      <c r="G14" s="5" t="s">
        <v>155</v>
      </c>
      <c r="H14" s="5">
        <f t="shared" si="1"/>
        <v>0</v>
      </c>
    </row>
    <row r="15">
      <c r="D15" s="5" t="s">
        <v>157</v>
      </c>
      <c r="E15" s="5">
        <f>COUNTIF('All contacts'!$E$2:$E$224,D15)</f>
        <v>0</v>
      </c>
      <c r="G15" s="5" t="s">
        <v>160</v>
      </c>
      <c r="H15" s="5">
        <f t="shared" si="1"/>
        <v>0</v>
      </c>
    </row>
    <row r="16">
      <c r="D16" s="5" t="s">
        <v>134</v>
      </c>
      <c r="E16" s="5">
        <f>COUNTIF('All contacts'!$E$2:$E$224,D16)</f>
        <v>5</v>
      </c>
      <c r="G16" s="5" t="s">
        <v>165</v>
      </c>
      <c r="H16" s="5">
        <f t="shared" si="1"/>
        <v>0</v>
      </c>
    </row>
    <row r="17">
      <c r="D17" s="5" t="s">
        <v>166</v>
      </c>
      <c r="E17" s="5">
        <f>COUNTIF('All contacts'!$E$2:$E$224,D17)</f>
        <v>3</v>
      </c>
      <c r="G17" s="5" t="s">
        <v>167</v>
      </c>
      <c r="H17" s="5">
        <f t="shared" si="1"/>
        <v>0</v>
      </c>
    </row>
    <row r="18">
      <c r="D18" s="5" t="s">
        <v>169</v>
      </c>
      <c r="E18" s="5">
        <f>COUNTIF('All contacts'!$E$2:$E$224,D18)</f>
        <v>3</v>
      </c>
    </row>
    <row r="19">
      <c r="D19" s="5" t="s">
        <v>170</v>
      </c>
      <c r="E19" s="5">
        <f>COUNTIF('All contacts'!$E$2:$E$224,D19)</f>
        <v>0</v>
      </c>
    </row>
    <row r="20">
      <c r="D20" s="5" t="s">
        <v>138</v>
      </c>
      <c r="E20" s="5">
        <f>COUNTIF('All contacts'!$E$2:$E$224,D20)</f>
        <v>2</v>
      </c>
    </row>
    <row r="21" ht="15.75" customHeight="1">
      <c r="D21" s="5" t="s">
        <v>174</v>
      </c>
      <c r="E21" s="5">
        <f>COUNTIF('All contacts'!$E$2:$E$224,D21)</f>
        <v>0</v>
      </c>
    </row>
    <row r="22" ht="15.75" customHeight="1">
      <c r="D22" s="5" t="s">
        <v>178</v>
      </c>
      <c r="E22" s="5">
        <f>COUNTIF('All contacts'!$E$2:$E$224,D22)</f>
        <v>0</v>
      </c>
    </row>
    <row r="23" ht="15.75" customHeight="1">
      <c r="D23" s="5" t="s">
        <v>182</v>
      </c>
      <c r="E23" s="5">
        <f>COUNTIF('All contacts'!$E$2:$E$224,D23)</f>
        <v>0</v>
      </c>
    </row>
    <row r="24" ht="15.75" customHeight="1">
      <c r="D24" s="5" t="s">
        <v>137</v>
      </c>
      <c r="E24" s="5">
        <f>COUNTIF('All contacts'!$E$2:$E$224,D24)</f>
        <v>6</v>
      </c>
    </row>
    <row r="25" ht="15.75" customHeight="1">
      <c r="D25" s="5" t="s">
        <v>195</v>
      </c>
      <c r="E25" s="5">
        <f>COUNTIF('All contacts'!$E$2:$E$224,D25)</f>
        <v>3</v>
      </c>
    </row>
    <row r="26" ht="15.75" customHeight="1">
      <c r="D26" s="5" t="s">
        <v>203</v>
      </c>
      <c r="E26" s="5">
        <f>COUNTIF('All contacts'!$E$2:$E$224,D26)</f>
        <v>3</v>
      </c>
    </row>
    <row r="27" ht="15.75" customHeight="1">
      <c r="D27" s="5" t="s">
        <v>213</v>
      </c>
      <c r="E27" s="5">
        <f>COUNTIF('All contacts'!$E$2:$E$224,D27)</f>
        <v>0</v>
      </c>
    </row>
    <row r="28" ht="15.75" customHeight="1">
      <c r="D28" s="5" t="s">
        <v>115</v>
      </c>
      <c r="E28" s="5">
        <f>COUNTIF('All contacts'!$E$2:$E$224,D28)</f>
        <v>96</v>
      </c>
    </row>
    <row r="29" ht="15.75" customHeight="1">
      <c r="D29" s="5" t="s">
        <v>227</v>
      </c>
      <c r="E29" s="5">
        <f>COUNTIF('All contacts'!$E$2:$E$224,D29)</f>
        <v>0</v>
      </c>
    </row>
    <row r="30" ht="15.75" customHeight="1">
      <c r="D30" s="5" t="s">
        <v>234</v>
      </c>
      <c r="E30" s="5">
        <f>COUNTIF('All contacts'!$E$2:$E$224,D30)</f>
        <v>0</v>
      </c>
    </row>
    <row r="31" ht="15.75" customHeight="1">
      <c r="D31" s="5" t="s">
        <v>239</v>
      </c>
      <c r="E31" s="5">
        <f>COUNTIF('All contacts'!$E$2:$E$224,D31)</f>
        <v>0</v>
      </c>
    </row>
    <row r="32" ht="15.75" customHeight="1">
      <c r="D32" s="5" t="s">
        <v>241</v>
      </c>
      <c r="E32" s="5">
        <f>COUNTIF('All contacts'!$E$2:$E$224,D32)</f>
        <v>2</v>
      </c>
    </row>
    <row r="33" ht="15.75" customHeight="1">
      <c r="D33" s="5" t="s">
        <v>244</v>
      </c>
      <c r="E33" s="5">
        <f>COUNTIF('All contacts'!$E$2:$E$224,D33)</f>
        <v>3</v>
      </c>
    </row>
    <row r="34" ht="15.75" customHeight="1">
      <c r="D34" s="5" t="s">
        <v>246</v>
      </c>
      <c r="E34" s="5">
        <f>COUNTIF('All contacts'!$E$2:$E$224,D34)</f>
        <v>0</v>
      </c>
    </row>
    <row r="35" ht="15.75" customHeight="1">
      <c r="D35" s="5" t="s">
        <v>248</v>
      </c>
      <c r="E35" s="5">
        <f>COUNTIF('All contacts'!$E$2:$E$224,D35)</f>
        <v>0</v>
      </c>
    </row>
    <row r="36" ht="15.75" customHeight="1">
      <c r="D36" s="5" t="s">
        <v>251</v>
      </c>
      <c r="E36" s="5">
        <f>COUNTIF('All contacts'!$E$2:$E$224,D36)</f>
        <v>3</v>
      </c>
    </row>
    <row r="37" ht="15.75" customHeight="1">
      <c r="D37" s="5" t="s">
        <v>253</v>
      </c>
      <c r="E37" s="5">
        <f>COUNTIF('All contacts'!$E$2:$E$224,D37)</f>
        <v>0</v>
      </c>
    </row>
    <row r="38" ht="15.75" customHeight="1">
      <c r="D38" s="5" t="s">
        <v>256</v>
      </c>
      <c r="E38" s="5">
        <f>COUNTIF('All contacts'!$E$2:$E$224,D38)</f>
        <v>0</v>
      </c>
    </row>
    <row r="39" ht="15.75" customHeight="1">
      <c r="D39" s="5" t="s">
        <v>257</v>
      </c>
      <c r="E39" s="5">
        <f>COUNTIF('All contacts'!$E$2:$E$224,D39)</f>
        <v>3</v>
      </c>
    </row>
    <row r="40" ht="15.75" customHeight="1">
      <c r="D40" s="5" t="s">
        <v>258</v>
      </c>
      <c r="E40" s="5">
        <f>COUNTIF('All contacts'!$E$2:$E$224,D40)</f>
        <v>3</v>
      </c>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xSplit="2.0" ySplit="1.0" topLeftCell="C2" activePane="bottomRight" state="frozen"/>
      <selection activeCell="C1" sqref="C1" pane="topRight"/>
      <selection activeCell="A2" sqref="A2" pane="bottomLeft"/>
      <selection activeCell="C2" sqref="C2" pane="bottomRight"/>
    </sheetView>
  </sheetViews>
  <sheetFormatPr customHeight="1" defaultColWidth="12.63" defaultRowHeight="15.0"/>
  <cols>
    <col customWidth="1" min="1" max="1" width="15.88"/>
    <col customWidth="1" min="2" max="2" width="24.0"/>
    <col customWidth="1" min="3" max="3" width="16.0"/>
    <col customWidth="1" min="4" max="4" width="28.0"/>
    <col customWidth="1" min="5" max="5" width="18.0"/>
    <col customWidth="1" min="6" max="6" width="28.0"/>
    <col customWidth="1" min="7" max="7" width="25.0"/>
    <col customWidth="1" min="8" max="8" width="36.0"/>
    <col customWidth="1" min="9" max="9" width="28.0"/>
    <col customWidth="1" min="10" max="10" width="24.0"/>
    <col customWidth="1" min="11" max="11" width="26.0"/>
    <col customWidth="1" min="12" max="12" width="38.0"/>
    <col customWidth="1" min="13" max="13" width="42.0"/>
    <col customWidth="1" min="14" max="14" width="13.0"/>
    <col customWidth="1" min="15" max="15" width="15.0"/>
    <col customWidth="1" min="16" max="17" width="13.0"/>
    <col customWidth="1" min="18" max="18" width="32.0"/>
    <col customWidth="1" min="19" max="19" width="29.0"/>
    <col customWidth="1" min="20" max="21" width="14.0"/>
    <col customWidth="1" min="22" max="22" width="22.38"/>
    <col customWidth="1" min="23" max="23" width="24.63"/>
    <col customWidth="1" min="24" max="24" width="32.0"/>
    <col customWidth="1" min="25" max="25" width="24.75"/>
    <col customWidth="1" min="26" max="29" width="32.0"/>
  </cols>
  <sheetData>
    <row r="1" ht="42.0" customHeight="1">
      <c r="A1" s="9" t="s">
        <v>41</v>
      </c>
      <c r="B1" s="10" t="s">
        <v>61</v>
      </c>
      <c r="C1" s="10" t="s">
        <v>67</v>
      </c>
      <c r="D1" s="10" t="s">
        <v>72</v>
      </c>
      <c r="E1" s="10" t="s">
        <v>3</v>
      </c>
      <c r="F1" s="10" t="s">
        <v>76</v>
      </c>
      <c r="G1" s="10" t="s">
        <v>78</v>
      </c>
      <c r="H1" s="10" t="s">
        <v>80</v>
      </c>
      <c r="I1" s="10" t="s">
        <v>81</v>
      </c>
      <c r="J1" s="10" t="s">
        <v>82</v>
      </c>
      <c r="K1" s="10" t="s">
        <v>84</v>
      </c>
      <c r="L1" s="10" t="s">
        <v>85</v>
      </c>
      <c r="M1" s="10" t="s">
        <v>87</v>
      </c>
      <c r="N1" s="9" t="s">
        <v>89</v>
      </c>
      <c r="O1" s="9" t="s">
        <v>90</v>
      </c>
      <c r="P1" s="9" t="s">
        <v>91</v>
      </c>
      <c r="Q1" s="10" t="s">
        <v>93</v>
      </c>
      <c r="R1" s="10" t="s">
        <v>94</v>
      </c>
      <c r="S1" s="10" t="s">
        <v>95</v>
      </c>
      <c r="T1" s="10" t="s">
        <v>96</v>
      </c>
      <c r="U1" s="10" t="s">
        <v>98</v>
      </c>
      <c r="V1" s="11" t="s">
        <v>100</v>
      </c>
      <c r="W1" s="11" t="s">
        <v>101</v>
      </c>
      <c r="X1" s="11" t="s">
        <v>103</v>
      </c>
      <c r="Y1" s="11" t="s">
        <v>104</v>
      </c>
      <c r="Z1" s="11" t="s">
        <v>105</v>
      </c>
      <c r="AA1" s="11" t="s">
        <v>107</v>
      </c>
      <c r="AB1" s="11" t="s">
        <v>108</v>
      </c>
      <c r="AC1" s="11" t="s">
        <v>110</v>
      </c>
    </row>
    <row r="2" ht="37.5" customHeight="1">
      <c r="A2" s="12" t="s">
        <v>111</v>
      </c>
      <c r="B2" s="12" t="s">
        <v>113</v>
      </c>
      <c r="C2" s="12" t="s">
        <v>46</v>
      </c>
      <c r="D2" s="12" t="s">
        <v>114</v>
      </c>
      <c r="E2" s="12" t="s">
        <v>115</v>
      </c>
      <c r="F2" s="12" t="s">
        <v>117</v>
      </c>
      <c r="G2" s="12" t="s">
        <v>119</v>
      </c>
      <c r="H2" s="12" t="s">
        <v>120</v>
      </c>
      <c r="I2" s="12"/>
      <c r="J2" s="12"/>
      <c r="K2" s="12"/>
      <c r="L2" s="12" t="s">
        <v>120</v>
      </c>
      <c r="M2" s="12" t="s">
        <v>125</v>
      </c>
      <c r="N2" s="13" t="b">
        <v>1</v>
      </c>
      <c r="O2" s="13" t="b">
        <v>0</v>
      </c>
      <c r="P2" s="13" t="b">
        <v>1</v>
      </c>
      <c r="Q2" s="12"/>
      <c r="R2" s="12"/>
      <c r="S2" s="12"/>
      <c r="T2" s="14">
        <v>46211.0</v>
      </c>
      <c r="U2" s="15">
        <v>46229.0</v>
      </c>
      <c r="V2" s="16"/>
      <c r="W2" s="16"/>
      <c r="X2" s="16"/>
    </row>
    <row r="3" ht="37.5" customHeight="1">
      <c r="A3" s="17" t="s">
        <v>111</v>
      </c>
      <c r="B3" s="17" t="s">
        <v>143</v>
      </c>
      <c r="C3" s="17" t="s">
        <v>46</v>
      </c>
      <c r="D3" s="17" t="s">
        <v>144</v>
      </c>
      <c r="E3" s="17"/>
      <c r="F3" s="17" t="s">
        <v>145</v>
      </c>
      <c r="G3" s="17"/>
      <c r="H3" s="17" t="s">
        <v>147</v>
      </c>
      <c r="I3" s="17"/>
      <c r="J3" s="17"/>
      <c r="K3" s="17"/>
      <c r="L3" s="17" t="s">
        <v>147</v>
      </c>
      <c r="M3" s="17" t="s">
        <v>149</v>
      </c>
      <c r="N3" s="18" t="b">
        <v>1</v>
      </c>
      <c r="O3" s="18" t="b">
        <v>0</v>
      </c>
      <c r="P3" s="18" t="b">
        <v>1</v>
      </c>
      <c r="Q3" s="17"/>
      <c r="R3" s="17"/>
      <c r="S3" s="17"/>
      <c r="T3" s="19">
        <v>46211.0</v>
      </c>
      <c r="U3" s="20">
        <v>46229.0</v>
      </c>
      <c r="V3" s="17"/>
      <c r="W3" s="17"/>
      <c r="X3" s="17"/>
      <c r="Y3" s="17"/>
      <c r="Z3" s="17"/>
      <c r="AA3" s="17"/>
      <c r="AB3" s="17"/>
      <c r="AC3" s="17"/>
    </row>
    <row r="4" ht="37.5" customHeight="1">
      <c r="A4" s="12" t="s">
        <v>111</v>
      </c>
      <c r="B4" s="12" t="s">
        <v>161</v>
      </c>
      <c r="C4" s="12" t="s">
        <v>46</v>
      </c>
      <c r="D4" s="12" t="s">
        <v>163</v>
      </c>
      <c r="E4" s="12"/>
      <c r="F4" s="12" t="s">
        <v>164</v>
      </c>
      <c r="G4" s="12"/>
      <c r="H4" s="12" t="s">
        <v>147</v>
      </c>
      <c r="I4" s="12"/>
      <c r="J4" s="12"/>
      <c r="K4" s="12"/>
      <c r="L4" s="12" t="s">
        <v>147</v>
      </c>
      <c r="M4" s="12" t="s">
        <v>168</v>
      </c>
      <c r="N4" s="13" t="b">
        <v>1</v>
      </c>
      <c r="O4" s="13" t="b">
        <v>0</v>
      </c>
      <c r="P4" s="13" t="b">
        <v>1</v>
      </c>
      <c r="Q4" s="12"/>
      <c r="R4" s="12"/>
      <c r="S4" s="12"/>
      <c r="T4" s="14">
        <v>46211.0</v>
      </c>
      <c r="U4" s="15">
        <v>46229.0</v>
      </c>
      <c r="V4" s="16" t="s">
        <v>172</v>
      </c>
      <c r="W4" s="12"/>
      <c r="X4" s="12"/>
      <c r="Y4" s="12"/>
      <c r="Z4" s="12"/>
      <c r="AA4" s="12"/>
      <c r="AB4" s="12"/>
      <c r="AC4" s="12"/>
    </row>
    <row r="5" ht="37.5" customHeight="1">
      <c r="A5" s="17" t="s">
        <v>111</v>
      </c>
      <c r="B5" s="17" t="s">
        <v>176</v>
      </c>
      <c r="C5" s="17" t="s">
        <v>46</v>
      </c>
      <c r="D5" s="17" t="s">
        <v>177</v>
      </c>
      <c r="E5" s="17" t="s">
        <v>115</v>
      </c>
      <c r="F5" s="17" t="s">
        <v>179</v>
      </c>
      <c r="G5" s="17"/>
      <c r="H5" s="17" t="s">
        <v>181</v>
      </c>
      <c r="I5" s="17"/>
      <c r="J5" s="17"/>
      <c r="K5" s="17"/>
      <c r="L5" s="17" t="s">
        <v>181</v>
      </c>
      <c r="M5" s="17" t="s">
        <v>188</v>
      </c>
      <c r="N5" s="18" t="b">
        <v>1</v>
      </c>
      <c r="O5" s="18" t="b">
        <v>0</v>
      </c>
      <c r="P5" s="18" t="b">
        <v>1</v>
      </c>
      <c r="Q5" s="17"/>
      <c r="R5" s="17"/>
      <c r="S5" s="17"/>
      <c r="T5" s="19">
        <v>46211.0</v>
      </c>
      <c r="U5" s="20">
        <v>46229.0</v>
      </c>
      <c r="V5" s="17"/>
      <c r="W5" s="17"/>
      <c r="X5" s="17"/>
      <c r="Y5" s="17"/>
      <c r="Z5" s="17"/>
      <c r="AA5" s="17"/>
      <c r="AB5" s="17"/>
      <c r="AC5" s="17"/>
    </row>
    <row r="6" ht="37.5" customHeight="1">
      <c r="A6" s="12" t="s">
        <v>111</v>
      </c>
      <c r="B6" s="12" t="s">
        <v>222</v>
      </c>
      <c r="C6" s="12" t="s">
        <v>46</v>
      </c>
      <c r="D6" s="12" t="s">
        <v>225</v>
      </c>
      <c r="E6" s="12"/>
      <c r="F6" s="12"/>
      <c r="G6" s="12"/>
      <c r="H6" s="12" t="s">
        <v>229</v>
      </c>
      <c r="I6" s="12" t="s">
        <v>232</v>
      </c>
      <c r="J6" s="12"/>
      <c r="K6" s="12"/>
      <c r="L6" s="12" t="s">
        <v>229</v>
      </c>
      <c r="M6" s="12" t="s">
        <v>237</v>
      </c>
      <c r="N6" s="13" t="b">
        <v>1</v>
      </c>
      <c r="O6" s="13" t="b">
        <v>0</v>
      </c>
      <c r="P6" s="13" t="b">
        <v>1</v>
      </c>
      <c r="Q6" s="12"/>
      <c r="R6" s="12" t="s">
        <v>232</v>
      </c>
      <c r="S6" s="12"/>
      <c r="T6" s="14">
        <v>46211.0</v>
      </c>
      <c r="U6" s="15">
        <v>46229.0</v>
      </c>
      <c r="V6" s="12"/>
      <c r="W6" s="12"/>
      <c r="X6" s="12"/>
      <c r="Y6" s="12"/>
      <c r="Z6" s="12"/>
      <c r="AA6" s="12"/>
      <c r="AB6" s="12"/>
      <c r="AC6" s="12"/>
    </row>
    <row r="7" ht="37.5" customHeight="1">
      <c r="A7" s="17" t="s">
        <v>111</v>
      </c>
      <c r="B7" s="17" t="s">
        <v>249</v>
      </c>
      <c r="C7" s="17" t="s">
        <v>250</v>
      </c>
      <c r="D7" s="17" t="s">
        <v>252</v>
      </c>
      <c r="E7" s="17"/>
      <c r="F7" s="17"/>
      <c r="G7" s="17"/>
      <c r="H7" s="17" t="s">
        <v>254</v>
      </c>
      <c r="I7" s="17"/>
      <c r="J7" s="17"/>
      <c r="K7" s="17"/>
      <c r="L7" s="17" t="s">
        <v>254</v>
      </c>
      <c r="M7" s="17" t="s">
        <v>255</v>
      </c>
      <c r="N7" s="18" t="b">
        <v>1</v>
      </c>
      <c r="O7" s="18" t="b">
        <v>0</v>
      </c>
      <c r="P7" s="18" t="b">
        <v>1</v>
      </c>
      <c r="Q7" s="17"/>
      <c r="R7" s="17"/>
      <c r="S7" s="17"/>
      <c r="T7" s="19">
        <v>46211.0</v>
      </c>
      <c r="U7" s="20">
        <v>46229.0</v>
      </c>
      <c r="V7" s="33" t="s">
        <v>259</v>
      </c>
      <c r="W7" s="17"/>
      <c r="X7" s="17"/>
      <c r="Y7" s="17"/>
      <c r="Z7" s="17"/>
      <c r="AA7" s="17"/>
      <c r="AB7" s="17"/>
      <c r="AC7" s="17"/>
    </row>
    <row r="8" ht="37.5" customHeight="1">
      <c r="A8" s="12" t="s">
        <v>111</v>
      </c>
      <c r="B8" s="16" t="s">
        <v>260</v>
      </c>
      <c r="C8" s="12" t="s">
        <v>46</v>
      </c>
      <c r="D8" s="12" t="s">
        <v>261</v>
      </c>
      <c r="E8" s="12" t="s">
        <v>262</v>
      </c>
      <c r="F8" s="12"/>
      <c r="G8" s="12"/>
      <c r="H8" s="12" t="s">
        <v>263</v>
      </c>
      <c r="I8" s="12"/>
      <c r="J8" s="12"/>
      <c r="K8" s="12"/>
      <c r="L8" s="12" t="s">
        <v>263</v>
      </c>
      <c r="M8" s="12" t="s">
        <v>264</v>
      </c>
      <c r="N8" s="13" t="b">
        <v>1</v>
      </c>
      <c r="O8" s="13" t="b">
        <v>0</v>
      </c>
      <c r="P8" s="13" t="b">
        <v>1</v>
      </c>
      <c r="Q8" s="12"/>
      <c r="R8" s="12"/>
      <c r="S8" s="12"/>
      <c r="T8" s="14">
        <v>46211.0</v>
      </c>
      <c r="U8" s="15">
        <v>46229.0</v>
      </c>
      <c r="V8" s="12"/>
      <c r="W8" s="12"/>
      <c r="X8" s="12"/>
      <c r="Y8" s="12"/>
      <c r="Z8" s="12"/>
      <c r="AA8" s="12"/>
      <c r="AB8" s="12"/>
      <c r="AC8" s="12"/>
    </row>
    <row r="9" ht="37.5" customHeight="1">
      <c r="A9" s="17" t="s">
        <v>111</v>
      </c>
      <c r="B9" s="17" t="s">
        <v>265</v>
      </c>
      <c r="C9" s="17" t="s">
        <v>46</v>
      </c>
      <c r="D9" s="17" t="s">
        <v>266</v>
      </c>
      <c r="E9" s="17" t="s">
        <v>266</v>
      </c>
      <c r="F9" s="17"/>
      <c r="G9" s="17"/>
      <c r="H9" s="17"/>
      <c r="I9" s="17"/>
      <c r="J9" s="17"/>
      <c r="K9" s="17"/>
      <c r="L9" s="17"/>
      <c r="M9" s="17" t="s">
        <v>279</v>
      </c>
      <c r="N9" s="18" t="b">
        <v>1</v>
      </c>
      <c r="O9" s="18" t="b">
        <v>0</v>
      </c>
      <c r="P9" s="18" t="b">
        <v>1</v>
      </c>
      <c r="Q9" s="17"/>
      <c r="R9" s="17"/>
      <c r="S9" s="17"/>
      <c r="T9" s="19">
        <v>46211.0</v>
      </c>
      <c r="U9" s="20">
        <v>46229.0</v>
      </c>
      <c r="V9" s="17"/>
      <c r="W9" s="17"/>
      <c r="X9" s="17"/>
      <c r="Y9" s="17"/>
      <c r="Z9" s="17"/>
      <c r="AA9" s="17"/>
      <c r="AB9" s="17"/>
      <c r="AC9" s="17"/>
    </row>
    <row r="10" ht="37.5" customHeight="1">
      <c r="A10" s="12" t="s">
        <v>111</v>
      </c>
      <c r="B10" s="12" t="s">
        <v>305</v>
      </c>
      <c r="C10" s="12" t="s">
        <v>46</v>
      </c>
      <c r="D10" s="12" t="s">
        <v>178</v>
      </c>
      <c r="E10" s="12"/>
      <c r="F10" s="12"/>
      <c r="G10" s="12"/>
      <c r="H10" s="12" t="s">
        <v>306</v>
      </c>
      <c r="I10" s="12"/>
      <c r="J10" s="12"/>
      <c r="K10" s="12"/>
      <c r="L10" s="12" t="s">
        <v>306</v>
      </c>
      <c r="M10" s="12" t="s">
        <v>309</v>
      </c>
      <c r="N10" s="13" t="b">
        <v>1</v>
      </c>
      <c r="O10" s="13" t="b">
        <v>0</v>
      </c>
      <c r="P10" s="13" t="b">
        <v>1</v>
      </c>
      <c r="Q10" s="12"/>
      <c r="R10" s="12"/>
      <c r="S10" s="12"/>
      <c r="T10" s="14">
        <v>46211.0</v>
      </c>
      <c r="U10" s="15">
        <v>46229.0</v>
      </c>
      <c r="V10" s="12"/>
      <c r="W10" s="12"/>
      <c r="X10" s="12"/>
      <c r="Y10" s="12"/>
      <c r="Z10" s="12"/>
      <c r="AA10" s="12"/>
      <c r="AB10" s="12"/>
      <c r="AC10" s="12"/>
    </row>
    <row r="11" ht="37.5" customHeight="1">
      <c r="A11" s="17" t="s">
        <v>111</v>
      </c>
      <c r="B11" s="17" t="s">
        <v>330</v>
      </c>
      <c r="C11" s="17" t="s">
        <v>46</v>
      </c>
      <c r="D11" s="17" t="s">
        <v>334</v>
      </c>
      <c r="E11" s="17" t="s">
        <v>115</v>
      </c>
      <c r="F11" s="17"/>
      <c r="G11" s="17"/>
      <c r="H11" s="17"/>
      <c r="I11" s="17"/>
      <c r="J11" s="17"/>
      <c r="K11" s="17"/>
      <c r="L11" s="17"/>
      <c r="M11" s="17" t="s">
        <v>348</v>
      </c>
      <c r="N11" s="18" t="b">
        <v>1</v>
      </c>
      <c r="O11" s="18" t="b">
        <v>0</v>
      </c>
      <c r="P11" s="18" t="b">
        <v>1</v>
      </c>
      <c r="Q11" s="17"/>
      <c r="R11" s="17"/>
      <c r="S11" s="17"/>
      <c r="T11" s="19">
        <v>46211.0</v>
      </c>
      <c r="U11" s="20">
        <v>46229.0</v>
      </c>
      <c r="V11" s="17"/>
      <c r="W11" s="17"/>
      <c r="X11" s="17"/>
      <c r="Y11" s="17"/>
      <c r="Z11" s="17"/>
      <c r="AA11" s="17"/>
      <c r="AB11" s="17"/>
      <c r="AC11" s="17"/>
    </row>
    <row r="12" ht="37.5" customHeight="1">
      <c r="A12" s="12" t="s">
        <v>111</v>
      </c>
      <c r="B12" s="12" t="s">
        <v>368</v>
      </c>
      <c r="C12" s="12" t="s">
        <v>46</v>
      </c>
      <c r="D12" s="12"/>
      <c r="E12" s="12"/>
      <c r="F12" s="12"/>
      <c r="G12" s="12"/>
      <c r="H12" s="12"/>
      <c r="I12" s="12"/>
      <c r="J12" s="12"/>
      <c r="K12" s="12"/>
      <c r="L12" s="12"/>
      <c r="M12" s="12" t="s">
        <v>385</v>
      </c>
      <c r="N12" s="13" t="b">
        <v>1</v>
      </c>
      <c r="O12" s="13" t="b">
        <v>0</v>
      </c>
      <c r="P12" s="13" t="b">
        <v>1</v>
      </c>
      <c r="Q12" s="12"/>
      <c r="R12" s="12"/>
      <c r="S12" s="12"/>
      <c r="T12" s="14">
        <v>46211.0</v>
      </c>
      <c r="U12" s="15">
        <v>46229.0</v>
      </c>
      <c r="V12" s="12"/>
      <c r="W12" s="12"/>
      <c r="X12" s="12"/>
      <c r="Y12" s="12"/>
      <c r="Z12" s="12"/>
      <c r="AA12" s="12"/>
      <c r="AB12" s="12"/>
      <c r="AC12" s="12"/>
    </row>
    <row r="13" ht="37.5" customHeight="1">
      <c r="A13" s="17" t="s">
        <v>111</v>
      </c>
      <c r="B13" s="17" t="s">
        <v>405</v>
      </c>
      <c r="C13" s="17" t="s">
        <v>46</v>
      </c>
      <c r="D13" s="17" t="s">
        <v>412</v>
      </c>
      <c r="E13" s="17"/>
      <c r="F13" s="17"/>
      <c r="G13" s="17"/>
      <c r="H13" s="17"/>
      <c r="I13" s="17"/>
      <c r="J13" s="17"/>
      <c r="K13" s="17"/>
      <c r="L13" s="17"/>
      <c r="M13" s="17" t="s">
        <v>428</v>
      </c>
      <c r="N13" s="18" t="b">
        <v>1</v>
      </c>
      <c r="O13" s="18" t="b">
        <v>0</v>
      </c>
      <c r="P13" s="18" t="b">
        <v>1</v>
      </c>
      <c r="Q13" s="17"/>
      <c r="R13" s="17"/>
      <c r="S13" s="17"/>
      <c r="T13" s="19">
        <v>46211.0</v>
      </c>
      <c r="U13" s="33" t="s">
        <v>440</v>
      </c>
      <c r="V13" s="33" t="s">
        <v>441</v>
      </c>
      <c r="W13" s="17"/>
      <c r="X13" s="17"/>
      <c r="Y13" s="17"/>
      <c r="Z13" s="17"/>
      <c r="AA13" s="17"/>
      <c r="AB13" s="17"/>
      <c r="AC13" s="17"/>
    </row>
    <row r="14" ht="37.5" customHeight="1">
      <c r="A14" s="12" t="s">
        <v>111</v>
      </c>
      <c r="B14" s="12" t="s">
        <v>448</v>
      </c>
      <c r="C14" s="12" t="s">
        <v>46</v>
      </c>
      <c r="D14" s="12" t="s">
        <v>450</v>
      </c>
      <c r="E14" s="12" t="s">
        <v>453</v>
      </c>
      <c r="F14" s="12"/>
      <c r="G14" s="12"/>
      <c r="H14" s="12"/>
      <c r="I14" s="12"/>
      <c r="J14" s="12"/>
      <c r="K14" s="12"/>
      <c r="L14" s="12"/>
      <c r="M14" s="12" t="s">
        <v>463</v>
      </c>
      <c r="N14" s="13" t="b">
        <v>1</v>
      </c>
      <c r="O14" s="13" t="b">
        <v>0</v>
      </c>
      <c r="P14" s="13" t="b">
        <v>1</v>
      </c>
      <c r="Q14" s="12"/>
      <c r="R14" s="12"/>
      <c r="S14" s="12"/>
      <c r="T14" s="14">
        <v>46211.0</v>
      </c>
      <c r="U14" s="15">
        <v>46229.0</v>
      </c>
      <c r="V14" s="12"/>
      <c r="W14" s="12"/>
      <c r="X14" s="12"/>
      <c r="Y14" s="12"/>
      <c r="Z14" s="12"/>
      <c r="AA14" s="12"/>
      <c r="AB14" s="12"/>
      <c r="AC14" s="12"/>
    </row>
    <row r="15" ht="37.5" customHeight="1">
      <c r="A15" s="17" t="s">
        <v>111</v>
      </c>
      <c r="B15" s="17" t="s">
        <v>489</v>
      </c>
      <c r="C15" s="17" t="s">
        <v>46</v>
      </c>
      <c r="D15" s="17" t="s">
        <v>450</v>
      </c>
      <c r="E15" s="17" t="s">
        <v>453</v>
      </c>
      <c r="F15" s="17"/>
      <c r="G15" s="17"/>
      <c r="H15" s="17"/>
      <c r="I15" s="17"/>
      <c r="J15" s="17"/>
      <c r="K15" s="17"/>
      <c r="L15" s="17"/>
      <c r="M15" s="17" t="s">
        <v>501</v>
      </c>
      <c r="N15" s="18" t="b">
        <v>1</v>
      </c>
      <c r="O15" s="18" t="b">
        <v>0</v>
      </c>
      <c r="P15" s="18" t="b">
        <v>1</v>
      </c>
      <c r="Q15" s="17"/>
      <c r="R15" s="17"/>
      <c r="S15" s="17"/>
      <c r="T15" s="19">
        <v>46211.0</v>
      </c>
      <c r="U15" s="20">
        <v>46229.0</v>
      </c>
      <c r="V15" s="17"/>
      <c r="W15" s="17"/>
      <c r="X15" s="17"/>
      <c r="Y15" s="17"/>
      <c r="Z15" s="17"/>
      <c r="AA15" s="17"/>
      <c r="AB15" s="17"/>
      <c r="AC15" s="17"/>
    </row>
    <row r="16" ht="37.5" customHeight="1">
      <c r="A16" s="12" t="s">
        <v>111</v>
      </c>
      <c r="B16" s="12" t="s">
        <v>523</v>
      </c>
      <c r="C16" s="12" t="s">
        <v>46</v>
      </c>
      <c r="D16" s="12"/>
      <c r="E16" s="12"/>
      <c r="F16" s="12"/>
      <c r="G16" s="12"/>
      <c r="H16" s="12"/>
      <c r="I16" s="12"/>
      <c r="J16" s="12"/>
      <c r="K16" s="12"/>
      <c r="L16" s="12"/>
      <c r="M16" s="12" t="s">
        <v>524</v>
      </c>
      <c r="N16" s="13" t="b">
        <v>1</v>
      </c>
      <c r="O16" s="13" t="b">
        <v>0</v>
      </c>
      <c r="P16" s="13" t="b">
        <v>1</v>
      </c>
      <c r="Q16" s="12"/>
      <c r="R16" s="12"/>
      <c r="S16" s="12"/>
      <c r="T16" s="14">
        <v>46211.0</v>
      </c>
      <c r="U16" s="15">
        <v>46229.0</v>
      </c>
      <c r="V16" s="12"/>
      <c r="W16" s="12"/>
      <c r="X16" s="12"/>
      <c r="Y16" s="12"/>
      <c r="Z16" s="12"/>
      <c r="AA16" s="12"/>
      <c r="AB16" s="12"/>
      <c r="AC16" s="12"/>
    </row>
    <row r="17" ht="37.5" customHeight="1">
      <c r="A17" s="17" t="s">
        <v>122</v>
      </c>
      <c r="B17" s="42" t="s">
        <v>525</v>
      </c>
      <c r="C17" s="33" t="s">
        <v>250</v>
      </c>
      <c r="D17" s="33" t="s">
        <v>526</v>
      </c>
      <c r="E17" s="17" t="s">
        <v>453</v>
      </c>
      <c r="F17" s="17"/>
      <c r="G17" s="17"/>
      <c r="H17" s="17"/>
      <c r="I17" s="17"/>
      <c r="J17" s="17"/>
      <c r="K17" s="17"/>
      <c r="L17" s="17"/>
      <c r="M17" s="17"/>
      <c r="N17" s="18" t="b">
        <v>1</v>
      </c>
      <c r="O17" s="18" t="b">
        <v>0</v>
      </c>
      <c r="P17" s="18" t="b">
        <v>1</v>
      </c>
      <c r="Q17" s="17"/>
      <c r="R17" s="17"/>
      <c r="S17" s="17"/>
      <c r="T17" s="20">
        <v>46211.0</v>
      </c>
      <c r="U17" s="33"/>
      <c r="V17" s="17"/>
      <c r="W17" s="17"/>
      <c r="X17" s="17"/>
      <c r="Y17" s="17"/>
      <c r="Z17" s="17"/>
      <c r="AA17" s="17"/>
      <c r="AB17" s="17"/>
      <c r="AC17" s="17"/>
    </row>
    <row r="18" ht="37.5" customHeight="1">
      <c r="A18" s="12" t="s">
        <v>122</v>
      </c>
      <c r="B18" s="12" t="s">
        <v>391</v>
      </c>
      <c r="C18" s="12" t="s">
        <v>527</v>
      </c>
      <c r="D18" s="12" t="s">
        <v>390</v>
      </c>
      <c r="E18" s="12" t="s">
        <v>115</v>
      </c>
      <c r="F18" s="12"/>
      <c r="G18" s="12"/>
      <c r="H18" s="12"/>
      <c r="I18" s="12" t="s">
        <v>528</v>
      </c>
      <c r="J18" s="12" t="s">
        <v>529</v>
      </c>
      <c r="K18" s="12" t="s">
        <v>380</v>
      </c>
      <c r="L18" s="12" t="s">
        <v>395</v>
      </c>
      <c r="M18" s="12" t="s">
        <v>393</v>
      </c>
      <c r="N18" s="13" t="b">
        <v>1</v>
      </c>
      <c r="O18" s="13" t="b">
        <v>0</v>
      </c>
      <c r="P18" s="13" t="b">
        <v>0</v>
      </c>
      <c r="Q18" s="12" t="s">
        <v>397</v>
      </c>
      <c r="R18" s="12" t="s">
        <v>528</v>
      </c>
      <c r="S18" s="12" t="s">
        <v>396</v>
      </c>
      <c r="T18" s="14">
        <v>46211.0</v>
      </c>
      <c r="U18" s="16"/>
      <c r="V18" s="12"/>
      <c r="W18" s="12"/>
      <c r="X18" s="12"/>
      <c r="Y18" s="12"/>
      <c r="Z18" s="12"/>
      <c r="AA18" s="12"/>
      <c r="AB18" s="12"/>
      <c r="AC18" s="12"/>
    </row>
    <row r="19" ht="37.5" customHeight="1">
      <c r="A19" s="17" t="s">
        <v>122</v>
      </c>
      <c r="B19" s="17" t="s">
        <v>530</v>
      </c>
      <c r="C19" s="17" t="s">
        <v>527</v>
      </c>
      <c r="D19" s="17" t="s">
        <v>390</v>
      </c>
      <c r="E19" s="17" t="s">
        <v>115</v>
      </c>
      <c r="F19" s="17"/>
      <c r="G19" s="17"/>
      <c r="H19" s="17"/>
      <c r="I19" s="17" t="s">
        <v>528</v>
      </c>
      <c r="J19" s="17" t="s">
        <v>529</v>
      </c>
      <c r="K19" s="17" t="s">
        <v>380</v>
      </c>
      <c r="L19" s="17" t="s">
        <v>531</v>
      </c>
      <c r="M19" s="17" t="s">
        <v>532</v>
      </c>
      <c r="N19" s="18" t="b">
        <v>1</v>
      </c>
      <c r="O19" s="18" t="b">
        <v>0</v>
      </c>
      <c r="P19" s="18" t="b">
        <v>0</v>
      </c>
      <c r="Q19" s="17" t="s">
        <v>397</v>
      </c>
      <c r="R19" s="17" t="s">
        <v>528</v>
      </c>
      <c r="S19" s="17" t="s">
        <v>396</v>
      </c>
      <c r="T19" s="19">
        <v>46211.0</v>
      </c>
      <c r="U19" s="33"/>
      <c r="V19" s="17"/>
      <c r="W19" s="17"/>
      <c r="X19" s="17"/>
      <c r="Y19" s="17"/>
      <c r="Z19" s="17"/>
      <c r="AA19" s="17"/>
      <c r="AB19" s="17"/>
      <c r="AC19" s="17"/>
    </row>
    <row r="20" ht="37.5" customHeight="1">
      <c r="A20" s="12" t="s">
        <v>122</v>
      </c>
      <c r="B20" s="12" t="s">
        <v>533</v>
      </c>
      <c r="C20" s="12" t="s">
        <v>527</v>
      </c>
      <c r="D20" s="12" t="s">
        <v>390</v>
      </c>
      <c r="E20" s="12" t="s">
        <v>115</v>
      </c>
      <c r="F20" s="12"/>
      <c r="G20" s="12"/>
      <c r="H20" s="12"/>
      <c r="I20" s="12" t="s">
        <v>528</v>
      </c>
      <c r="J20" s="12" t="s">
        <v>529</v>
      </c>
      <c r="K20" s="12" t="s">
        <v>380</v>
      </c>
      <c r="L20" s="12" t="s">
        <v>534</v>
      </c>
      <c r="M20" s="12" t="s">
        <v>535</v>
      </c>
      <c r="N20" s="13" t="b">
        <v>1</v>
      </c>
      <c r="O20" s="13" t="b">
        <v>0</v>
      </c>
      <c r="P20" s="13" t="b">
        <v>0</v>
      </c>
      <c r="Q20" s="12" t="s">
        <v>397</v>
      </c>
      <c r="R20" s="12" t="s">
        <v>528</v>
      </c>
      <c r="S20" s="12" t="s">
        <v>396</v>
      </c>
      <c r="T20" s="14">
        <v>46211.0</v>
      </c>
      <c r="U20" s="16"/>
      <c r="V20" s="12"/>
      <c r="W20" s="12"/>
      <c r="X20" s="12"/>
      <c r="Y20" s="12"/>
      <c r="Z20" s="12"/>
      <c r="AA20" s="12"/>
      <c r="AB20" s="12"/>
      <c r="AC20" s="12"/>
    </row>
    <row r="21" ht="37.5" customHeight="1">
      <c r="A21" s="17" t="s">
        <v>122</v>
      </c>
      <c r="B21" s="33" t="s">
        <v>399</v>
      </c>
      <c r="C21" s="17" t="s">
        <v>527</v>
      </c>
      <c r="D21" s="17" t="s">
        <v>398</v>
      </c>
      <c r="E21" s="17" t="s">
        <v>115</v>
      </c>
      <c r="F21" s="17" t="s">
        <v>536</v>
      </c>
      <c r="G21" s="17" t="s">
        <v>119</v>
      </c>
      <c r="H21" s="17" t="s">
        <v>537</v>
      </c>
      <c r="I21" s="17" t="s">
        <v>538</v>
      </c>
      <c r="J21" s="17" t="s">
        <v>539</v>
      </c>
      <c r="K21" s="17" t="s">
        <v>400</v>
      </c>
      <c r="L21" s="17" t="s">
        <v>402</v>
      </c>
      <c r="M21" s="17" t="s">
        <v>401</v>
      </c>
      <c r="N21" s="18" t="b">
        <v>1</v>
      </c>
      <c r="O21" s="18" t="b">
        <v>0</v>
      </c>
      <c r="P21" s="18" t="b">
        <v>0</v>
      </c>
      <c r="Q21" s="17" t="s">
        <v>319</v>
      </c>
      <c r="R21" s="17" t="s">
        <v>538</v>
      </c>
      <c r="S21" s="17" t="s">
        <v>403</v>
      </c>
      <c r="T21" s="19">
        <v>46211.0</v>
      </c>
      <c r="U21" s="33"/>
      <c r="V21" s="17"/>
      <c r="W21" s="17"/>
      <c r="X21" s="17"/>
      <c r="Y21" s="17"/>
      <c r="Z21" s="17"/>
      <c r="AA21" s="17"/>
      <c r="AB21" s="17"/>
      <c r="AC21" s="17"/>
    </row>
    <row r="22" ht="37.5" customHeight="1">
      <c r="A22" s="12" t="s">
        <v>122</v>
      </c>
      <c r="B22" s="12" t="s">
        <v>540</v>
      </c>
      <c r="C22" s="12" t="s">
        <v>527</v>
      </c>
      <c r="D22" s="12" t="s">
        <v>398</v>
      </c>
      <c r="E22" s="12" t="s">
        <v>115</v>
      </c>
      <c r="F22" s="12" t="s">
        <v>536</v>
      </c>
      <c r="G22" s="12" t="s">
        <v>119</v>
      </c>
      <c r="H22" s="12" t="s">
        <v>537</v>
      </c>
      <c r="I22" s="12" t="s">
        <v>538</v>
      </c>
      <c r="J22" s="12" t="s">
        <v>539</v>
      </c>
      <c r="K22" s="12" t="s">
        <v>400</v>
      </c>
      <c r="L22" s="12" t="s">
        <v>541</v>
      </c>
      <c r="M22" s="12" t="s">
        <v>542</v>
      </c>
      <c r="N22" s="13" t="b">
        <v>1</v>
      </c>
      <c r="O22" s="13" t="b">
        <v>0</v>
      </c>
      <c r="P22" s="13" t="b">
        <v>0</v>
      </c>
      <c r="Q22" s="12" t="s">
        <v>319</v>
      </c>
      <c r="R22" s="12" t="s">
        <v>538</v>
      </c>
      <c r="S22" s="12" t="s">
        <v>403</v>
      </c>
      <c r="T22" s="14">
        <v>46211.0</v>
      </c>
      <c r="U22" s="14"/>
      <c r="V22" s="12"/>
      <c r="W22" s="12"/>
      <c r="X22" s="12"/>
      <c r="Y22" s="12"/>
      <c r="Z22" s="12"/>
      <c r="AA22" s="12"/>
      <c r="AB22" s="12"/>
      <c r="AC22" s="12"/>
    </row>
    <row r="23" ht="37.5" customHeight="1">
      <c r="A23" s="17" t="s">
        <v>122</v>
      </c>
      <c r="B23" s="17" t="s">
        <v>543</v>
      </c>
      <c r="C23" s="17" t="s">
        <v>527</v>
      </c>
      <c r="D23" s="17" t="s">
        <v>398</v>
      </c>
      <c r="E23" s="17" t="s">
        <v>115</v>
      </c>
      <c r="F23" s="17" t="s">
        <v>536</v>
      </c>
      <c r="G23" s="17" t="s">
        <v>119</v>
      </c>
      <c r="H23" s="17" t="s">
        <v>537</v>
      </c>
      <c r="I23" s="17" t="s">
        <v>538</v>
      </c>
      <c r="J23" s="17" t="s">
        <v>539</v>
      </c>
      <c r="K23" s="17" t="s">
        <v>544</v>
      </c>
      <c r="L23" s="17" t="s">
        <v>545</v>
      </c>
      <c r="M23" s="17" t="s">
        <v>546</v>
      </c>
      <c r="N23" s="18" t="b">
        <v>1</v>
      </c>
      <c r="O23" s="18" t="b">
        <v>0</v>
      </c>
      <c r="P23" s="18" t="b">
        <v>0</v>
      </c>
      <c r="Q23" s="17" t="s">
        <v>319</v>
      </c>
      <c r="R23" s="17" t="s">
        <v>538</v>
      </c>
      <c r="S23" s="17" t="s">
        <v>403</v>
      </c>
      <c r="T23" s="19">
        <v>46211.0</v>
      </c>
      <c r="U23" s="19"/>
      <c r="V23" s="17"/>
      <c r="W23" s="17"/>
      <c r="X23" s="17"/>
      <c r="Y23" s="17"/>
      <c r="Z23" s="17"/>
      <c r="AA23" s="17"/>
      <c r="AB23" s="17"/>
      <c r="AC23" s="17"/>
    </row>
    <row r="24" ht="37.5" customHeight="1">
      <c r="A24" s="12" t="s">
        <v>122</v>
      </c>
      <c r="B24" s="12" t="s">
        <v>415</v>
      </c>
      <c r="C24" s="12" t="s">
        <v>527</v>
      </c>
      <c r="D24" s="12" t="s">
        <v>413</v>
      </c>
      <c r="E24" s="12" t="s">
        <v>244</v>
      </c>
      <c r="F24" s="12" t="s">
        <v>547</v>
      </c>
      <c r="G24" s="12" t="s">
        <v>119</v>
      </c>
      <c r="H24" s="12" t="s">
        <v>548</v>
      </c>
      <c r="I24" s="12" t="s">
        <v>549</v>
      </c>
      <c r="J24" s="12" t="s">
        <v>550</v>
      </c>
      <c r="K24" s="12" t="s">
        <v>344</v>
      </c>
      <c r="L24" s="12" t="s">
        <v>419</v>
      </c>
      <c r="M24" s="12" t="s">
        <v>417</v>
      </c>
      <c r="N24" s="13" t="b">
        <v>1</v>
      </c>
      <c r="O24" s="13" t="b">
        <v>0</v>
      </c>
      <c r="P24" s="13" t="b">
        <v>0</v>
      </c>
      <c r="Q24" s="12" t="s">
        <v>319</v>
      </c>
      <c r="R24" s="12" t="s">
        <v>549</v>
      </c>
      <c r="S24" s="12" t="s">
        <v>420</v>
      </c>
      <c r="T24" s="15">
        <v>46215.0</v>
      </c>
      <c r="U24" s="14"/>
      <c r="V24" s="12"/>
      <c r="W24" s="12"/>
      <c r="X24" s="12"/>
      <c r="Y24" s="12"/>
      <c r="Z24" s="12"/>
      <c r="AA24" s="12"/>
      <c r="AB24" s="12"/>
      <c r="AC24" s="12"/>
    </row>
    <row r="25" ht="37.5" customHeight="1">
      <c r="A25" s="17" t="s">
        <v>122</v>
      </c>
      <c r="B25" s="33" t="s">
        <v>423</v>
      </c>
      <c r="C25" s="17" t="s">
        <v>527</v>
      </c>
      <c r="D25" s="17" t="s">
        <v>422</v>
      </c>
      <c r="E25" s="17" t="s">
        <v>115</v>
      </c>
      <c r="F25" s="17" t="s">
        <v>551</v>
      </c>
      <c r="G25" s="17" t="s">
        <v>119</v>
      </c>
      <c r="H25" s="17" t="s">
        <v>552</v>
      </c>
      <c r="I25" s="43" t="s">
        <v>553</v>
      </c>
      <c r="J25" s="17" t="s">
        <v>554</v>
      </c>
      <c r="K25" s="17" t="s">
        <v>344</v>
      </c>
      <c r="L25" s="17" t="s">
        <v>426</v>
      </c>
      <c r="M25" s="17" t="s">
        <v>424</v>
      </c>
      <c r="N25" s="18" t="b">
        <v>1</v>
      </c>
      <c r="O25" s="18" t="b">
        <v>0</v>
      </c>
      <c r="P25" s="18" t="b">
        <v>0</v>
      </c>
      <c r="Q25" s="17" t="s">
        <v>319</v>
      </c>
      <c r="R25" s="17" t="s">
        <v>553</v>
      </c>
      <c r="S25" s="17" t="s">
        <v>427</v>
      </c>
      <c r="T25" s="20">
        <v>46215.0</v>
      </c>
      <c r="U25" s="20">
        <v>46229.0</v>
      </c>
      <c r="V25" s="17"/>
      <c r="W25" s="17"/>
      <c r="X25" s="17"/>
      <c r="Y25" s="17"/>
      <c r="Z25" s="17"/>
      <c r="AA25" s="17"/>
      <c r="AB25" s="17"/>
      <c r="AC25" s="17"/>
    </row>
    <row r="26" ht="37.5" customHeight="1">
      <c r="A26" s="12" t="s">
        <v>122</v>
      </c>
      <c r="B26" s="12" t="s">
        <v>555</v>
      </c>
      <c r="C26" s="12" t="s">
        <v>527</v>
      </c>
      <c r="D26" s="12" t="s">
        <v>556</v>
      </c>
      <c r="E26" s="12" t="s">
        <v>115</v>
      </c>
      <c r="F26" s="12" t="s">
        <v>557</v>
      </c>
      <c r="G26" s="12" t="s">
        <v>119</v>
      </c>
      <c r="H26" s="12" t="s">
        <v>558</v>
      </c>
      <c r="I26" s="12" t="s">
        <v>559</v>
      </c>
      <c r="J26" s="12" t="s">
        <v>560</v>
      </c>
      <c r="K26" s="12" t="s">
        <v>444</v>
      </c>
      <c r="L26" s="12" t="s">
        <v>561</v>
      </c>
      <c r="M26" s="12" t="s">
        <v>562</v>
      </c>
      <c r="N26" s="13" t="b">
        <v>1</v>
      </c>
      <c r="O26" s="13" t="b">
        <v>0</v>
      </c>
      <c r="P26" s="13" t="b">
        <v>0</v>
      </c>
      <c r="Q26" s="12" t="s">
        <v>319</v>
      </c>
      <c r="R26" s="12" t="s">
        <v>559</v>
      </c>
      <c r="S26" s="12" t="s">
        <v>563</v>
      </c>
      <c r="T26" s="15">
        <v>46215.0</v>
      </c>
      <c r="U26" s="14"/>
      <c r="V26" s="12"/>
      <c r="W26" s="12"/>
      <c r="X26" s="12"/>
      <c r="Y26" s="12"/>
      <c r="Z26" s="12"/>
      <c r="AA26" s="12"/>
      <c r="AB26" s="12"/>
      <c r="AC26" s="12"/>
    </row>
    <row r="27" ht="37.5" customHeight="1">
      <c r="A27" s="17" t="s">
        <v>122</v>
      </c>
      <c r="B27" s="17" t="s">
        <v>430</v>
      </c>
      <c r="C27" s="17" t="s">
        <v>527</v>
      </c>
      <c r="D27" s="17" t="s">
        <v>429</v>
      </c>
      <c r="E27" s="17" t="s">
        <v>244</v>
      </c>
      <c r="F27" s="17" t="s">
        <v>564</v>
      </c>
      <c r="G27" s="17" t="s">
        <v>119</v>
      </c>
      <c r="H27" s="17" t="s">
        <v>565</v>
      </c>
      <c r="I27" s="17" t="s">
        <v>566</v>
      </c>
      <c r="J27" s="17" t="s">
        <v>567</v>
      </c>
      <c r="K27" s="17" t="s">
        <v>344</v>
      </c>
      <c r="L27" s="17" t="s">
        <v>432</v>
      </c>
      <c r="M27" s="17" t="s">
        <v>431</v>
      </c>
      <c r="N27" s="18" t="b">
        <v>1</v>
      </c>
      <c r="O27" s="18" t="b">
        <v>0</v>
      </c>
      <c r="P27" s="18" t="b">
        <v>0</v>
      </c>
      <c r="Q27" s="17" t="s">
        <v>319</v>
      </c>
      <c r="R27" s="17" t="s">
        <v>566</v>
      </c>
      <c r="S27" s="17" t="s">
        <v>433</v>
      </c>
      <c r="T27" s="20">
        <v>46215.0</v>
      </c>
      <c r="U27" s="19"/>
      <c r="V27" s="17"/>
      <c r="W27" s="44"/>
      <c r="X27" s="44"/>
      <c r="Y27" s="44"/>
      <c r="Z27" s="44"/>
      <c r="AA27" s="44"/>
      <c r="AB27" s="44"/>
      <c r="AC27" s="44"/>
    </row>
    <row r="28" ht="37.5" customHeight="1">
      <c r="A28" s="12" t="s">
        <v>122</v>
      </c>
      <c r="B28" s="12" t="s">
        <v>322</v>
      </c>
      <c r="C28" s="12" t="s">
        <v>527</v>
      </c>
      <c r="D28" s="12" t="s">
        <v>321</v>
      </c>
      <c r="E28" s="12" t="s">
        <v>141</v>
      </c>
      <c r="F28" s="12" t="s">
        <v>568</v>
      </c>
      <c r="G28" s="12" t="s">
        <v>569</v>
      </c>
      <c r="H28" s="12" t="s">
        <v>570</v>
      </c>
      <c r="I28" s="12" t="s">
        <v>571</v>
      </c>
      <c r="J28" s="12" t="s">
        <v>572</v>
      </c>
      <c r="K28" s="12" t="s">
        <v>323</v>
      </c>
      <c r="L28" s="12" t="s">
        <v>325</v>
      </c>
      <c r="M28" s="12" t="s">
        <v>324</v>
      </c>
      <c r="N28" s="13" t="b">
        <v>1</v>
      </c>
      <c r="O28" s="13" t="b">
        <v>0</v>
      </c>
      <c r="P28" s="13" t="b">
        <v>0</v>
      </c>
      <c r="Q28" s="12" t="s">
        <v>319</v>
      </c>
      <c r="R28" s="12" t="s">
        <v>571</v>
      </c>
      <c r="S28" s="12" t="s">
        <v>326</v>
      </c>
      <c r="T28" s="15">
        <v>46215.0</v>
      </c>
      <c r="U28" s="14"/>
      <c r="V28" s="12"/>
      <c r="W28" s="12"/>
      <c r="X28" s="12"/>
      <c r="Y28" s="12"/>
      <c r="Z28" s="12"/>
      <c r="AA28" s="12"/>
      <c r="AB28" s="12"/>
      <c r="AC28" s="12"/>
    </row>
    <row r="29" ht="37.5" customHeight="1">
      <c r="A29" s="17" t="s">
        <v>122</v>
      </c>
      <c r="B29" s="17" t="s">
        <v>573</v>
      </c>
      <c r="C29" s="17" t="s">
        <v>527</v>
      </c>
      <c r="D29" s="17" t="s">
        <v>574</v>
      </c>
      <c r="E29" s="17" t="s">
        <v>112</v>
      </c>
      <c r="F29" s="17" t="s">
        <v>575</v>
      </c>
      <c r="G29" s="17" t="s">
        <v>576</v>
      </c>
      <c r="H29" s="17" t="s">
        <v>577</v>
      </c>
      <c r="I29" s="17" t="s">
        <v>578</v>
      </c>
      <c r="J29" s="17" t="s">
        <v>579</v>
      </c>
      <c r="K29" s="17" t="s">
        <v>580</v>
      </c>
      <c r="L29" s="17" t="s">
        <v>581</v>
      </c>
      <c r="M29" s="17" t="s">
        <v>582</v>
      </c>
      <c r="N29" s="18" t="b">
        <v>1</v>
      </c>
      <c r="O29" s="18" t="b">
        <v>0</v>
      </c>
      <c r="P29" s="18" t="b">
        <v>0</v>
      </c>
      <c r="Q29" s="17" t="s">
        <v>319</v>
      </c>
      <c r="R29" s="17" t="s">
        <v>578</v>
      </c>
      <c r="S29" s="17" t="s">
        <v>583</v>
      </c>
      <c r="T29" s="20">
        <v>46215.0</v>
      </c>
      <c r="U29" s="19"/>
      <c r="V29" s="17"/>
      <c r="W29" s="17"/>
      <c r="X29" s="17"/>
      <c r="Y29" s="17"/>
      <c r="Z29" s="17"/>
      <c r="AA29" s="17"/>
      <c r="AB29" s="17"/>
      <c r="AC29" s="17"/>
    </row>
    <row r="30" ht="37.5" customHeight="1">
      <c r="A30" s="12" t="s">
        <v>122</v>
      </c>
      <c r="B30" s="12" t="s">
        <v>584</v>
      </c>
      <c r="C30" s="12" t="s">
        <v>527</v>
      </c>
      <c r="D30" s="12" t="s">
        <v>585</v>
      </c>
      <c r="E30" s="12" t="s">
        <v>258</v>
      </c>
      <c r="F30" s="12" t="s">
        <v>586</v>
      </c>
      <c r="G30" s="12" t="s">
        <v>587</v>
      </c>
      <c r="H30" s="12" t="s">
        <v>588</v>
      </c>
      <c r="I30" s="12" t="s">
        <v>589</v>
      </c>
      <c r="J30" s="12" t="s">
        <v>590</v>
      </c>
      <c r="K30" s="12" t="s">
        <v>591</v>
      </c>
      <c r="L30" s="12" t="s">
        <v>592</v>
      </c>
      <c r="M30" s="12" t="s">
        <v>593</v>
      </c>
      <c r="N30" s="13" t="b">
        <v>1</v>
      </c>
      <c r="O30" s="13" t="b">
        <v>0</v>
      </c>
      <c r="P30" s="13" t="b">
        <v>0</v>
      </c>
      <c r="Q30" s="12" t="s">
        <v>319</v>
      </c>
      <c r="R30" s="12" t="s">
        <v>594</v>
      </c>
      <c r="S30" s="12" t="s">
        <v>595</v>
      </c>
      <c r="T30" s="15">
        <v>46215.0</v>
      </c>
      <c r="U30" s="14"/>
      <c r="V30" s="12"/>
      <c r="W30" s="12"/>
      <c r="X30" s="12"/>
      <c r="Y30" s="12"/>
      <c r="Z30" s="12"/>
      <c r="AA30" s="12"/>
      <c r="AB30" s="12"/>
      <c r="AC30" s="12"/>
    </row>
    <row r="31" ht="37.5" customHeight="1">
      <c r="A31" s="17" t="s">
        <v>122</v>
      </c>
      <c r="B31" s="17" t="s">
        <v>343</v>
      </c>
      <c r="C31" s="17" t="s">
        <v>527</v>
      </c>
      <c r="D31" s="17" t="s">
        <v>342</v>
      </c>
      <c r="E31" s="17" t="s">
        <v>121</v>
      </c>
      <c r="F31" s="17" t="s">
        <v>596</v>
      </c>
      <c r="G31" s="17" t="s">
        <v>597</v>
      </c>
      <c r="H31" s="17" t="s">
        <v>598</v>
      </c>
      <c r="I31" s="17" t="s">
        <v>599</v>
      </c>
      <c r="J31" s="17" t="s">
        <v>600</v>
      </c>
      <c r="K31" s="17" t="s">
        <v>344</v>
      </c>
      <c r="L31" s="17" t="s">
        <v>346</v>
      </c>
      <c r="M31" s="17" t="s">
        <v>345</v>
      </c>
      <c r="N31" s="18" t="b">
        <v>1</v>
      </c>
      <c r="O31" s="18" t="b">
        <v>0</v>
      </c>
      <c r="P31" s="18" t="b">
        <v>1</v>
      </c>
      <c r="Q31" s="17" t="s">
        <v>319</v>
      </c>
      <c r="R31" s="17" t="s">
        <v>599</v>
      </c>
      <c r="S31" s="17" t="s">
        <v>347</v>
      </c>
      <c r="T31" s="20">
        <v>46215.0</v>
      </c>
      <c r="U31" s="20">
        <v>46229.0</v>
      </c>
      <c r="V31" s="17"/>
      <c r="W31" s="17"/>
      <c r="X31" s="17"/>
      <c r="Y31" s="17"/>
      <c r="Z31" s="17"/>
      <c r="AA31" s="17"/>
      <c r="AB31" s="17"/>
      <c r="AC31" s="17"/>
    </row>
    <row r="32" ht="37.5" customHeight="1">
      <c r="A32" s="12" t="s">
        <v>122</v>
      </c>
      <c r="B32" s="12" t="s">
        <v>350</v>
      </c>
      <c r="C32" s="12" t="s">
        <v>527</v>
      </c>
      <c r="D32" s="12" t="s">
        <v>349</v>
      </c>
      <c r="E32" s="12" t="s">
        <v>31</v>
      </c>
      <c r="F32" s="12" t="s">
        <v>601</v>
      </c>
      <c r="G32" s="12" t="s">
        <v>602</v>
      </c>
      <c r="H32" s="12" t="s">
        <v>603</v>
      </c>
      <c r="I32" s="12" t="s">
        <v>604</v>
      </c>
      <c r="J32" s="12" t="s">
        <v>605</v>
      </c>
      <c r="K32" s="12" t="s">
        <v>351</v>
      </c>
      <c r="L32" s="12" t="s">
        <v>353</v>
      </c>
      <c r="M32" s="12" t="s">
        <v>352</v>
      </c>
      <c r="N32" s="13" t="b">
        <v>1</v>
      </c>
      <c r="O32" s="13" t="b">
        <v>0</v>
      </c>
      <c r="P32" s="13" t="b">
        <v>0</v>
      </c>
      <c r="Q32" s="12" t="s">
        <v>319</v>
      </c>
      <c r="R32" s="12" t="s">
        <v>604</v>
      </c>
      <c r="S32" s="12" t="s">
        <v>354</v>
      </c>
      <c r="T32" s="15">
        <v>46215.0</v>
      </c>
      <c r="U32" s="14"/>
      <c r="V32" s="12"/>
      <c r="W32" s="12"/>
      <c r="X32" s="12"/>
      <c r="Y32" s="12"/>
      <c r="Z32" s="12"/>
      <c r="AA32" s="12"/>
      <c r="AB32" s="12"/>
      <c r="AC32" s="12"/>
    </row>
    <row r="33" ht="37.5" customHeight="1">
      <c r="A33" s="17" t="s">
        <v>122</v>
      </c>
      <c r="B33" s="17" t="s">
        <v>606</v>
      </c>
      <c r="C33" s="17" t="s">
        <v>527</v>
      </c>
      <c r="D33" s="17" t="s">
        <v>607</v>
      </c>
      <c r="E33" s="17" t="s">
        <v>121</v>
      </c>
      <c r="F33" s="17" t="s">
        <v>608</v>
      </c>
      <c r="G33" s="17" t="s">
        <v>609</v>
      </c>
      <c r="H33" s="17" t="s">
        <v>610</v>
      </c>
      <c r="I33" s="17" t="s">
        <v>611</v>
      </c>
      <c r="J33" s="17" t="s">
        <v>612</v>
      </c>
      <c r="K33" s="17" t="s">
        <v>613</v>
      </c>
      <c r="L33" s="17" t="s">
        <v>614</v>
      </c>
      <c r="M33" s="17" t="s">
        <v>615</v>
      </c>
      <c r="N33" s="18" t="b">
        <v>1</v>
      </c>
      <c r="O33" s="18" t="b">
        <v>0</v>
      </c>
      <c r="P33" s="18" t="b">
        <v>1</v>
      </c>
      <c r="Q33" s="17" t="s">
        <v>319</v>
      </c>
      <c r="R33" s="17" t="s">
        <v>611</v>
      </c>
      <c r="S33" s="33" t="s">
        <v>616</v>
      </c>
      <c r="T33" s="20">
        <v>46215.0</v>
      </c>
      <c r="U33" s="20">
        <v>46229.0</v>
      </c>
      <c r="V33" s="17"/>
      <c r="W33" s="17"/>
      <c r="X33" s="17"/>
      <c r="Y33" s="17"/>
      <c r="Z33" s="17"/>
      <c r="AA33" s="17"/>
      <c r="AB33" s="17"/>
      <c r="AC33" s="17"/>
    </row>
    <row r="34" ht="37.5" customHeight="1">
      <c r="A34" s="12" t="s">
        <v>122</v>
      </c>
      <c r="B34" s="12" t="s">
        <v>435</v>
      </c>
      <c r="C34" s="12" t="s">
        <v>617</v>
      </c>
      <c r="D34" s="12" t="s">
        <v>434</v>
      </c>
      <c r="E34" s="12" t="s">
        <v>115</v>
      </c>
      <c r="F34" s="12" t="s">
        <v>618</v>
      </c>
      <c r="G34" s="12" t="s">
        <v>119</v>
      </c>
      <c r="H34" s="12" t="s">
        <v>619</v>
      </c>
      <c r="I34" s="12" t="s">
        <v>620</v>
      </c>
      <c r="J34" s="12" t="s">
        <v>539</v>
      </c>
      <c r="K34" s="12" t="s">
        <v>436</v>
      </c>
      <c r="L34" s="12" t="s">
        <v>438</v>
      </c>
      <c r="M34" s="12" t="s">
        <v>437</v>
      </c>
      <c r="N34" s="13" t="b">
        <v>1</v>
      </c>
      <c r="O34" s="13" t="b">
        <v>0</v>
      </c>
      <c r="P34" s="13" t="b">
        <v>0</v>
      </c>
      <c r="Q34" s="12" t="s">
        <v>319</v>
      </c>
      <c r="R34" s="12" t="s">
        <v>620</v>
      </c>
      <c r="S34" s="12" t="s">
        <v>439</v>
      </c>
      <c r="T34" s="15">
        <v>46215.0</v>
      </c>
      <c r="U34" s="14"/>
      <c r="V34" s="12"/>
      <c r="W34" s="12"/>
      <c r="X34" s="12"/>
      <c r="Y34" s="12"/>
      <c r="Z34" s="12"/>
      <c r="AA34" s="12"/>
      <c r="AB34" s="12"/>
      <c r="AC34" s="12"/>
    </row>
    <row r="35" ht="37.5" customHeight="1">
      <c r="A35" s="17" t="s">
        <v>122</v>
      </c>
      <c r="B35" s="17" t="s">
        <v>443</v>
      </c>
      <c r="C35" s="17" t="s">
        <v>617</v>
      </c>
      <c r="D35" s="17" t="s">
        <v>442</v>
      </c>
      <c r="E35" s="17" t="s">
        <v>115</v>
      </c>
      <c r="F35" s="17" t="s">
        <v>621</v>
      </c>
      <c r="G35" s="17" t="s">
        <v>622</v>
      </c>
      <c r="H35" s="17" t="s">
        <v>623</v>
      </c>
      <c r="I35" s="17" t="s">
        <v>624</v>
      </c>
      <c r="J35" s="17" t="s">
        <v>539</v>
      </c>
      <c r="K35" s="17" t="s">
        <v>444</v>
      </c>
      <c r="L35" s="17" t="s">
        <v>446</v>
      </c>
      <c r="M35" s="17" t="s">
        <v>445</v>
      </c>
      <c r="N35" s="18" t="b">
        <v>1</v>
      </c>
      <c r="O35" s="18" t="b">
        <v>0</v>
      </c>
      <c r="P35" s="18" t="b">
        <v>0</v>
      </c>
      <c r="Q35" s="17" t="s">
        <v>319</v>
      </c>
      <c r="R35" s="17" t="s">
        <v>624</v>
      </c>
      <c r="S35" s="17" t="s">
        <v>447</v>
      </c>
      <c r="T35" s="20">
        <v>46215.0</v>
      </c>
      <c r="U35" s="19"/>
      <c r="V35" s="17"/>
      <c r="W35" s="17"/>
      <c r="X35" s="17"/>
      <c r="Y35" s="17"/>
      <c r="Z35" s="17"/>
      <c r="AA35" s="17"/>
      <c r="AB35" s="17"/>
      <c r="AC35" s="17"/>
    </row>
    <row r="36" ht="37.5" customHeight="1">
      <c r="A36" s="12" t="s">
        <v>122</v>
      </c>
      <c r="B36" s="12" t="s">
        <v>625</v>
      </c>
      <c r="C36" s="12" t="s">
        <v>617</v>
      </c>
      <c r="D36" s="12" t="s">
        <v>626</v>
      </c>
      <c r="E36" s="12" t="s">
        <v>115</v>
      </c>
      <c r="F36" s="12" t="s">
        <v>627</v>
      </c>
      <c r="G36" s="12" t="s">
        <v>628</v>
      </c>
      <c r="H36" s="12" t="s">
        <v>629</v>
      </c>
      <c r="I36" s="12" t="s">
        <v>630</v>
      </c>
      <c r="J36" s="12" t="s">
        <v>631</v>
      </c>
      <c r="K36" s="12" t="s">
        <v>371</v>
      </c>
      <c r="L36" s="12" t="s">
        <v>632</v>
      </c>
      <c r="M36" s="12" t="s">
        <v>633</v>
      </c>
      <c r="N36" s="13" t="b">
        <v>1</v>
      </c>
      <c r="O36" s="13" t="b">
        <v>0</v>
      </c>
      <c r="P36" s="13" t="b">
        <v>0</v>
      </c>
      <c r="Q36" s="12" t="s">
        <v>319</v>
      </c>
      <c r="R36" s="12" t="s">
        <v>630</v>
      </c>
      <c r="S36" s="12" t="s">
        <v>634</v>
      </c>
      <c r="T36" s="15">
        <v>46215.0</v>
      </c>
      <c r="U36" s="14"/>
      <c r="V36" s="12"/>
      <c r="W36" s="12"/>
      <c r="X36" s="12"/>
      <c r="Y36" s="12"/>
      <c r="Z36" s="12"/>
      <c r="AA36" s="12"/>
      <c r="AB36" s="12"/>
      <c r="AC36" s="12"/>
    </row>
    <row r="37" ht="37.5" customHeight="1">
      <c r="A37" s="17" t="s">
        <v>122</v>
      </c>
      <c r="B37" s="17" t="s">
        <v>356</v>
      </c>
      <c r="C37" s="17" t="s">
        <v>617</v>
      </c>
      <c r="D37" s="17" t="s">
        <v>355</v>
      </c>
      <c r="E37" s="17" t="s">
        <v>83</v>
      </c>
      <c r="F37" s="17" t="s">
        <v>635</v>
      </c>
      <c r="G37" s="17" t="s">
        <v>636</v>
      </c>
      <c r="H37" s="17" t="s">
        <v>637</v>
      </c>
      <c r="I37" s="17" t="s">
        <v>638</v>
      </c>
      <c r="J37" s="17" t="s">
        <v>639</v>
      </c>
      <c r="K37" s="17" t="s">
        <v>357</v>
      </c>
      <c r="L37" s="17" t="s">
        <v>359</v>
      </c>
      <c r="M37" s="17" t="s">
        <v>358</v>
      </c>
      <c r="N37" s="18" t="b">
        <v>1</v>
      </c>
      <c r="O37" s="18" t="b">
        <v>0</v>
      </c>
      <c r="P37" s="18" t="b">
        <v>1</v>
      </c>
      <c r="Q37" s="17" t="s">
        <v>319</v>
      </c>
      <c r="R37" s="17" t="s">
        <v>638</v>
      </c>
      <c r="S37" s="17" t="s">
        <v>360</v>
      </c>
      <c r="T37" s="20">
        <v>46215.0</v>
      </c>
      <c r="U37" s="19"/>
      <c r="V37" s="17"/>
      <c r="W37" s="17"/>
      <c r="X37" s="17"/>
      <c r="Y37" s="17"/>
      <c r="Z37" s="17"/>
      <c r="AA37" s="17"/>
      <c r="AB37" s="17"/>
      <c r="AC37" s="17"/>
    </row>
    <row r="38" ht="37.5" customHeight="1">
      <c r="A38" s="12" t="s">
        <v>122</v>
      </c>
      <c r="B38" s="12" t="s">
        <v>640</v>
      </c>
      <c r="C38" s="12" t="s">
        <v>617</v>
      </c>
      <c r="D38" s="12" t="s">
        <v>641</v>
      </c>
      <c r="E38" s="12" t="s">
        <v>31</v>
      </c>
      <c r="F38" s="12" t="s">
        <v>642</v>
      </c>
      <c r="G38" s="12" t="s">
        <v>643</v>
      </c>
      <c r="H38" s="12" t="s">
        <v>644</v>
      </c>
      <c r="I38" s="12" t="s">
        <v>645</v>
      </c>
      <c r="J38" s="12" t="s">
        <v>646</v>
      </c>
      <c r="K38" s="12" t="s">
        <v>371</v>
      </c>
      <c r="L38" s="12" t="s">
        <v>647</v>
      </c>
      <c r="M38" s="12" t="s">
        <v>648</v>
      </c>
      <c r="N38" s="13" t="b">
        <v>1</v>
      </c>
      <c r="O38" s="13" t="b">
        <v>0</v>
      </c>
      <c r="P38" s="13" t="b">
        <v>0</v>
      </c>
      <c r="Q38" s="12" t="s">
        <v>319</v>
      </c>
      <c r="R38" s="12" t="s">
        <v>645</v>
      </c>
      <c r="S38" s="12" t="s">
        <v>649</v>
      </c>
      <c r="T38" s="15">
        <v>46215.0</v>
      </c>
      <c r="U38" s="14"/>
      <c r="V38" s="12"/>
      <c r="W38" s="12"/>
      <c r="X38" s="12"/>
      <c r="Y38" s="12"/>
      <c r="Z38" s="12"/>
      <c r="AA38" s="12"/>
      <c r="AB38" s="12"/>
      <c r="AC38" s="12"/>
    </row>
    <row r="39" ht="37.5" customHeight="1">
      <c r="A39" s="17" t="s">
        <v>122</v>
      </c>
      <c r="B39" s="17" t="s">
        <v>363</v>
      </c>
      <c r="C39" s="17" t="s">
        <v>617</v>
      </c>
      <c r="D39" s="17" t="s">
        <v>361</v>
      </c>
      <c r="E39" s="17" t="s">
        <v>70</v>
      </c>
      <c r="F39" s="17" t="s">
        <v>650</v>
      </c>
      <c r="G39" s="17" t="s">
        <v>651</v>
      </c>
      <c r="H39" s="17" t="s">
        <v>652</v>
      </c>
      <c r="I39" s="17" t="s">
        <v>653</v>
      </c>
      <c r="J39" s="17" t="s">
        <v>654</v>
      </c>
      <c r="K39" s="17" t="s">
        <v>364</v>
      </c>
      <c r="L39" s="17" t="s">
        <v>366</v>
      </c>
      <c r="M39" s="17" t="s">
        <v>365</v>
      </c>
      <c r="N39" s="18" t="b">
        <v>1</v>
      </c>
      <c r="O39" s="18" t="b">
        <v>0</v>
      </c>
      <c r="P39" s="18" t="b">
        <v>0</v>
      </c>
      <c r="Q39" s="17" t="s">
        <v>341</v>
      </c>
      <c r="R39" s="17" t="s">
        <v>653</v>
      </c>
      <c r="S39" s="17" t="s">
        <v>367</v>
      </c>
      <c r="T39" s="20">
        <v>46215.0</v>
      </c>
      <c r="U39" s="19"/>
      <c r="V39" s="17"/>
      <c r="W39" s="17"/>
      <c r="X39" s="17"/>
      <c r="Y39" s="17"/>
      <c r="Z39" s="17"/>
      <c r="AA39" s="17"/>
      <c r="AB39" s="17"/>
      <c r="AC39" s="17"/>
    </row>
    <row r="40" ht="37.5" customHeight="1">
      <c r="A40" s="12" t="s">
        <v>122</v>
      </c>
      <c r="B40" s="12" t="s">
        <v>370</v>
      </c>
      <c r="C40" s="12" t="s">
        <v>617</v>
      </c>
      <c r="D40" s="12" t="s">
        <v>369</v>
      </c>
      <c r="E40" s="12" t="s">
        <v>134</v>
      </c>
      <c r="F40" s="12" t="s">
        <v>655</v>
      </c>
      <c r="G40" s="12" t="s">
        <v>119</v>
      </c>
      <c r="H40" s="12" t="s">
        <v>656</v>
      </c>
      <c r="I40" s="12" t="s">
        <v>657</v>
      </c>
      <c r="J40" s="12" t="s">
        <v>658</v>
      </c>
      <c r="K40" s="12" t="s">
        <v>371</v>
      </c>
      <c r="L40" s="12" t="s">
        <v>373</v>
      </c>
      <c r="M40" s="12" t="s">
        <v>372</v>
      </c>
      <c r="N40" s="13" t="b">
        <v>1</v>
      </c>
      <c r="O40" s="13" t="b">
        <v>0</v>
      </c>
      <c r="P40" s="13" t="b">
        <v>1</v>
      </c>
      <c r="Q40" s="12" t="s">
        <v>319</v>
      </c>
      <c r="R40" s="12" t="s">
        <v>657</v>
      </c>
      <c r="S40" s="12" t="s">
        <v>374</v>
      </c>
      <c r="T40" s="15">
        <v>46215.0</v>
      </c>
      <c r="U40" s="14"/>
      <c r="V40" s="12"/>
      <c r="W40" s="12"/>
      <c r="X40" s="12"/>
      <c r="Y40" s="12"/>
      <c r="Z40" s="12"/>
      <c r="AA40" s="12"/>
      <c r="AB40" s="12"/>
      <c r="AC40" s="12"/>
    </row>
    <row r="41" ht="37.5" customHeight="1">
      <c r="A41" s="33" t="s">
        <v>122</v>
      </c>
      <c r="B41" s="45" t="s">
        <v>659</v>
      </c>
      <c r="C41" s="17"/>
      <c r="D41" s="33" t="s">
        <v>660</v>
      </c>
      <c r="E41" s="33" t="s">
        <v>115</v>
      </c>
      <c r="F41" s="17"/>
      <c r="G41" s="33" t="s">
        <v>661</v>
      </c>
      <c r="H41" s="17"/>
      <c r="I41" s="17"/>
      <c r="J41" s="17"/>
      <c r="K41" s="17"/>
      <c r="L41" s="17"/>
      <c r="M41" s="17"/>
      <c r="N41" s="18" t="b">
        <v>1</v>
      </c>
      <c r="O41" s="18" t="b">
        <v>1</v>
      </c>
      <c r="P41" s="18" t="b">
        <v>1</v>
      </c>
      <c r="Q41" s="17"/>
      <c r="R41" s="17"/>
      <c r="S41" s="17"/>
      <c r="T41" s="20"/>
      <c r="U41" s="19"/>
      <c r="V41" s="33" t="s">
        <v>662</v>
      </c>
      <c r="W41" s="17"/>
      <c r="X41" s="17"/>
      <c r="Y41" s="17"/>
      <c r="Z41" s="17"/>
      <c r="AA41" s="17"/>
      <c r="AB41" s="17"/>
      <c r="AC41" s="17"/>
    </row>
    <row r="42" ht="37.5" customHeight="1">
      <c r="A42" s="12" t="s">
        <v>122</v>
      </c>
      <c r="B42" s="12" t="s">
        <v>379</v>
      </c>
      <c r="C42" s="12" t="s">
        <v>617</v>
      </c>
      <c r="D42" s="12" t="s">
        <v>376</v>
      </c>
      <c r="E42" s="12" t="s">
        <v>169</v>
      </c>
      <c r="F42" s="12" t="s">
        <v>663</v>
      </c>
      <c r="G42" s="12" t="s">
        <v>664</v>
      </c>
      <c r="H42" s="12" t="s">
        <v>665</v>
      </c>
      <c r="I42" s="12" t="s">
        <v>666</v>
      </c>
      <c r="J42" s="12" t="s">
        <v>539</v>
      </c>
      <c r="K42" s="12" t="s">
        <v>380</v>
      </c>
      <c r="L42" s="12" t="s">
        <v>382</v>
      </c>
      <c r="M42" s="12" t="s">
        <v>381</v>
      </c>
      <c r="N42" s="13" t="b">
        <v>1</v>
      </c>
      <c r="O42" s="13" t="b">
        <v>0</v>
      </c>
      <c r="P42" s="13" t="b">
        <v>0</v>
      </c>
      <c r="Q42" s="12" t="s">
        <v>319</v>
      </c>
      <c r="R42" s="12" t="s">
        <v>666</v>
      </c>
      <c r="S42" s="12" t="s">
        <v>383</v>
      </c>
      <c r="T42" s="15">
        <v>46215.0</v>
      </c>
      <c r="U42" s="14"/>
      <c r="V42" s="12"/>
      <c r="W42" s="12"/>
      <c r="X42" s="12"/>
      <c r="Y42" s="12"/>
      <c r="Z42" s="12"/>
      <c r="AA42" s="12"/>
      <c r="AB42" s="12"/>
      <c r="AC42" s="12"/>
    </row>
    <row r="43" ht="37.5" customHeight="1">
      <c r="A43" s="17" t="s">
        <v>122</v>
      </c>
      <c r="B43" s="17" t="s">
        <v>667</v>
      </c>
      <c r="C43" s="17" t="s">
        <v>617</v>
      </c>
      <c r="D43" s="17" t="s">
        <v>668</v>
      </c>
      <c r="E43" s="17" t="s">
        <v>195</v>
      </c>
      <c r="F43" s="17" t="s">
        <v>669</v>
      </c>
      <c r="G43" s="17" t="s">
        <v>670</v>
      </c>
      <c r="H43" s="17" t="s">
        <v>671</v>
      </c>
      <c r="I43" s="17" t="s">
        <v>672</v>
      </c>
      <c r="J43" s="17" t="s">
        <v>631</v>
      </c>
      <c r="K43" s="17" t="s">
        <v>371</v>
      </c>
      <c r="L43" s="17" t="s">
        <v>673</v>
      </c>
      <c r="M43" s="17" t="s">
        <v>674</v>
      </c>
      <c r="N43" s="18" t="b">
        <v>1</v>
      </c>
      <c r="O43" s="18" t="b">
        <v>0</v>
      </c>
      <c r="P43" s="18" t="b">
        <v>0</v>
      </c>
      <c r="Q43" s="17" t="s">
        <v>341</v>
      </c>
      <c r="R43" s="17" t="s">
        <v>672</v>
      </c>
      <c r="S43" s="17" t="s">
        <v>675</v>
      </c>
      <c r="T43" s="20">
        <v>46215.0</v>
      </c>
      <c r="U43" s="19"/>
      <c r="V43" s="17"/>
      <c r="W43" s="17"/>
      <c r="X43" s="17"/>
      <c r="Y43" s="17"/>
      <c r="Z43" s="17"/>
      <c r="AA43" s="17"/>
      <c r="AB43" s="17"/>
      <c r="AC43" s="17"/>
    </row>
    <row r="44" ht="37.5" customHeight="1">
      <c r="A44" s="12" t="s">
        <v>122</v>
      </c>
      <c r="B44" s="12" t="s">
        <v>676</v>
      </c>
      <c r="C44" s="12" t="s">
        <v>677</v>
      </c>
      <c r="D44" s="12" t="s">
        <v>678</v>
      </c>
      <c r="E44" s="16" t="s">
        <v>115</v>
      </c>
      <c r="F44" s="12" t="s">
        <v>679</v>
      </c>
      <c r="G44" s="12" t="s">
        <v>622</v>
      </c>
      <c r="H44" s="12" t="s">
        <v>680</v>
      </c>
      <c r="I44" s="12" t="s">
        <v>681</v>
      </c>
      <c r="J44" s="12" t="s">
        <v>560</v>
      </c>
      <c r="K44" s="12" t="s">
        <v>436</v>
      </c>
      <c r="L44" s="12" t="s">
        <v>682</v>
      </c>
      <c r="M44" s="12" t="s">
        <v>683</v>
      </c>
      <c r="N44" s="13" t="b">
        <v>1</v>
      </c>
      <c r="O44" s="13" t="b">
        <v>0</v>
      </c>
      <c r="P44" s="13" t="b">
        <v>0</v>
      </c>
      <c r="Q44" s="12" t="s">
        <v>319</v>
      </c>
      <c r="R44" s="12" t="s">
        <v>681</v>
      </c>
      <c r="S44" s="12" t="s">
        <v>684</v>
      </c>
      <c r="T44" s="15">
        <v>46215.0</v>
      </c>
      <c r="U44" s="14"/>
      <c r="V44" s="12"/>
      <c r="W44" s="12"/>
      <c r="X44" s="12"/>
      <c r="Y44" s="12"/>
      <c r="Z44" s="12"/>
      <c r="AA44" s="12"/>
      <c r="AB44" s="12"/>
      <c r="AC44" s="12"/>
    </row>
    <row r="45" ht="37.5" customHeight="1">
      <c r="A45" s="17" t="s">
        <v>122</v>
      </c>
      <c r="B45" s="17" t="s">
        <v>457</v>
      </c>
      <c r="C45" s="17" t="s">
        <v>677</v>
      </c>
      <c r="D45" s="17" t="s">
        <v>456</v>
      </c>
      <c r="E45" s="17" t="s">
        <v>115</v>
      </c>
      <c r="F45" s="17" t="s">
        <v>685</v>
      </c>
      <c r="G45" s="17" t="s">
        <v>119</v>
      </c>
      <c r="H45" s="17" t="s">
        <v>686</v>
      </c>
      <c r="I45" s="17" t="s">
        <v>687</v>
      </c>
      <c r="J45" s="17" t="s">
        <v>560</v>
      </c>
      <c r="K45" s="17" t="s">
        <v>458</v>
      </c>
      <c r="L45" s="17" t="s">
        <v>460</v>
      </c>
      <c r="M45" s="17" t="s">
        <v>459</v>
      </c>
      <c r="N45" s="18" t="b">
        <v>1</v>
      </c>
      <c r="O45" s="18" t="b">
        <v>0</v>
      </c>
      <c r="P45" s="18" t="b">
        <v>0</v>
      </c>
      <c r="Q45" s="17" t="s">
        <v>319</v>
      </c>
      <c r="R45" s="17" t="s">
        <v>687</v>
      </c>
      <c r="S45" s="17" t="s">
        <v>461</v>
      </c>
      <c r="T45" s="20">
        <v>46215.0</v>
      </c>
      <c r="U45" s="19"/>
      <c r="V45" s="17"/>
      <c r="W45" s="17"/>
      <c r="X45" s="17"/>
      <c r="Y45" s="17"/>
      <c r="Z45" s="17"/>
      <c r="AA45" s="17"/>
      <c r="AB45" s="17"/>
      <c r="AC45" s="17"/>
    </row>
    <row r="46" ht="37.5" customHeight="1">
      <c r="A46" s="12" t="s">
        <v>122</v>
      </c>
      <c r="B46" s="12" t="s">
        <v>464</v>
      </c>
      <c r="C46" s="12" t="s">
        <v>677</v>
      </c>
      <c r="D46" s="12" t="s">
        <v>462</v>
      </c>
      <c r="E46" s="12" t="s">
        <v>115</v>
      </c>
      <c r="F46" s="12" t="s">
        <v>688</v>
      </c>
      <c r="G46" s="12" t="s">
        <v>119</v>
      </c>
      <c r="H46" s="12" t="s">
        <v>689</v>
      </c>
      <c r="I46" s="12" t="s">
        <v>690</v>
      </c>
      <c r="J46" s="12" t="s">
        <v>691</v>
      </c>
      <c r="K46" s="12" t="s">
        <v>436</v>
      </c>
      <c r="L46" s="12" t="s">
        <v>466</v>
      </c>
      <c r="M46" s="12" t="s">
        <v>465</v>
      </c>
      <c r="N46" s="13" t="b">
        <v>1</v>
      </c>
      <c r="O46" s="13" t="b">
        <v>0</v>
      </c>
      <c r="P46" s="13" t="b">
        <v>0</v>
      </c>
      <c r="Q46" s="12" t="s">
        <v>319</v>
      </c>
      <c r="R46" s="12" t="s">
        <v>690</v>
      </c>
      <c r="S46" s="12" t="s">
        <v>467</v>
      </c>
      <c r="T46" s="15">
        <v>46215.0</v>
      </c>
      <c r="U46" s="14"/>
      <c r="V46" s="12"/>
      <c r="W46" s="12"/>
      <c r="X46" s="12"/>
      <c r="Y46" s="12"/>
      <c r="Z46" s="12"/>
      <c r="AA46" s="12"/>
      <c r="AB46" s="12"/>
      <c r="AC46" s="12"/>
    </row>
    <row r="47" ht="37.5" customHeight="1">
      <c r="A47" s="17" t="s">
        <v>122</v>
      </c>
      <c r="B47" s="17" t="s">
        <v>469</v>
      </c>
      <c r="C47" s="17" t="s">
        <v>677</v>
      </c>
      <c r="D47" s="17" t="s">
        <v>468</v>
      </c>
      <c r="E47" s="17" t="s">
        <v>146</v>
      </c>
      <c r="F47" s="17" t="s">
        <v>692</v>
      </c>
      <c r="G47" s="17" t="s">
        <v>693</v>
      </c>
      <c r="H47" s="17" t="s">
        <v>694</v>
      </c>
      <c r="I47" s="17" t="s">
        <v>695</v>
      </c>
      <c r="J47" s="17" t="s">
        <v>696</v>
      </c>
      <c r="K47" s="17" t="s">
        <v>470</v>
      </c>
      <c r="L47" s="17" t="s">
        <v>472</v>
      </c>
      <c r="M47" s="17" t="s">
        <v>471</v>
      </c>
      <c r="N47" s="18" t="b">
        <v>1</v>
      </c>
      <c r="O47" s="18" t="b">
        <v>0</v>
      </c>
      <c r="P47" s="18" t="b">
        <v>0</v>
      </c>
      <c r="Q47" s="17" t="s">
        <v>319</v>
      </c>
      <c r="R47" s="17" t="s">
        <v>695</v>
      </c>
      <c r="S47" s="17" t="s">
        <v>473</v>
      </c>
      <c r="T47" s="20">
        <v>46215.0</v>
      </c>
      <c r="U47" s="19"/>
      <c r="V47" s="17"/>
      <c r="W47" s="17"/>
      <c r="X47" s="17"/>
      <c r="Y47" s="17"/>
      <c r="Z47" s="17"/>
      <c r="AA47" s="17"/>
      <c r="AB47" s="17"/>
      <c r="AC47" s="17"/>
    </row>
    <row r="48" ht="37.5" customHeight="1">
      <c r="A48" s="12" t="s">
        <v>122</v>
      </c>
      <c r="B48" s="12" t="s">
        <v>314</v>
      </c>
      <c r="C48" s="12" t="s">
        <v>677</v>
      </c>
      <c r="D48" s="12" t="s">
        <v>313</v>
      </c>
      <c r="E48" s="12" t="s">
        <v>166</v>
      </c>
      <c r="F48" s="12" t="s">
        <v>697</v>
      </c>
      <c r="G48" s="12" t="s">
        <v>698</v>
      </c>
      <c r="H48" s="12" t="s">
        <v>699</v>
      </c>
      <c r="I48" s="12" t="s">
        <v>700</v>
      </c>
      <c r="J48" s="12" t="s">
        <v>701</v>
      </c>
      <c r="K48" s="12" t="s">
        <v>315</v>
      </c>
      <c r="L48" s="12" t="s">
        <v>317</v>
      </c>
      <c r="M48" s="12" t="s">
        <v>316</v>
      </c>
      <c r="N48" s="13" t="b">
        <v>1</v>
      </c>
      <c r="O48" s="13" t="b">
        <v>0</v>
      </c>
      <c r="P48" s="13" t="b">
        <v>0</v>
      </c>
      <c r="Q48" s="12" t="s">
        <v>319</v>
      </c>
      <c r="R48" s="12" t="s">
        <v>700</v>
      </c>
      <c r="S48" s="12" t="s">
        <v>318</v>
      </c>
      <c r="T48" s="15">
        <v>46215.0</v>
      </c>
      <c r="U48" s="14"/>
      <c r="V48" s="12"/>
      <c r="W48" s="12"/>
      <c r="X48" s="12"/>
      <c r="Y48" s="12"/>
      <c r="Z48" s="12"/>
      <c r="AA48" s="12"/>
      <c r="AB48" s="12"/>
      <c r="AC48" s="12"/>
    </row>
    <row r="49" ht="37.5" customHeight="1">
      <c r="A49" s="17" t="s">
        <v>122</v>
      </c>
      <c r="B49" s="17" t="s">
        <v>481</v>
      </c>
      <c r="C49" s="17" t="s">
        <v>677</v>
      </c>
      <c r="D49" s="17" t="s">
        <v>480</v>
      </c>
      <c r="E49" s="17" t="s">
        <v>115</v>
      </c>
      <c r="F49" s="17" t="s">
        <v>702</v>
      </c>
      <c r="G49" s="17" t="s">
        <v>622</v>
      </c>
      <c r="H49" s="17" t="s">
        <v>703</v>
      </c>
      <c r="I49" s="17" t="s">
        <v>704</v>
      </c>
      <c r="J49" s="17" t="s">
        <v>539</v>
      </c>
      <c r="K49" s="17" t="s">
        <v>444</v>
      </c>
      <c r="L49" s="17" t="s">
        <v>483</v>
      </c>
      <c r="M49" s="17" t="s">
        <v>482</v>
      </c>
      <c r="N49" s="18" t="b">
        <v>1</v>
      </c>
      <c r="O49" s="18" t="b">
        <v>0</v>
      </c>
      <c r="P49" s="18" t="b">
        <v>0</v>
      </c>
      <c r="Q49" s="17" t="s">
        <v>319</v>
      </c>
      <c r="R49" s="17" t="s">
        <v>704</v>
      </c>
      <c r="S49" s="17" t="s">
        <v>484</v>
      </c>
      <c r="T49" s="20">
        <v>46215.0</v>
      </c>
      <c r="U49" s="19"/>
      <c r="V49" s="17"/>
      <c r="W49" s="17"/>
      <c r="X49" s="17"/>
      <c r="Y49" s="17"/>
      <c r="Z49" s="17"/>
      <c r="AA49" s="17"/>
      <c r="AB49" s="17"/>
      <c r="AC49" s="17"/>
    </row>
    <row r="50" ht="37.5" customHeight="1">
      <c r="A50" s="12" t="s">
        <v>122</v>
      </c>
      <c r="B50" s="12" t="s">
        <v>486</v>
      </c>
      <c r="C50" s="12" t="s">
        <v>705</v>
      </c>
      <c r="D50" s="12" t="s">
        <v>485</v>
      </c>
      <c r="E50" s="12" t="s">
        <v>83</v>
      </c>
      <c r="F50" s="12" t="s">
        <v>706</v>
      </c>
      <c r="G50" s="12" t="s">
        <v>707</v>
      </c>
      <c r="H50" s="12" t="s">
        <v>708</v>
      </c>
      <c r="I50" s="12" t="s">
        <v>709</v>
      </c>
      <c r="J50" s="12" t="s">
        <v>710</v>
      </c>
      <c r="K50" s="12" t="s">
        <v>487</v>
      </c>
      <c r="L50" s="12" t="s">
        <v>490</v>
      </c>
      <c r="M50" s="12" t="s">
        <v>488</v>
      </c>
      <c r="N50" s="13" t="b">
        <v>1</v>
      </c>
      <c r="O50" s="13" t="b">
        <v>0</v>
      </c>
      <c r="P50" s="13" t="b">
        <v>1</v>
      </c>
      <c r="Q50" s="12" t="s">
        <v>319</v>
      </c>
      <c r="R50" s="12" t="s">
        <v>709</v>
      </c>
      <c r="S50" s="12" t="s">
        <v>491</v>
      </c>
      <c r="T50" s="15">
        <v>46215.0</v>
      </c>
      <c r="U50" s="15">
        <v>46229.0</v>
      </c>
      <c r="V50" s="12"/>
      <c r="W50" s="12"/>
      <c r="X50" s="12"/>
      <c r="Y50" s="12"/>
      <c r="Z50" s="12"/>
      <c r="AA50" s="12"/>
      <c r="AB50" s="12"/>
      <c r="AC50" s="12"/>
    </row>
    <row r="51" ht="37.5" customHeight="1">
      <c r="A51" s="17" t="s">
        <v>122</v>
      </c>
      <c r="B51" s="17" t="s">
        <v>493</v>
      </c>
      <c r="C51" s="17" t="s">
        <v>711</v>
      </c>
      <c r="D51" s="17" t="s">
        <v>492</v>
      </c>
      <c r="E51" s="17" t="s">
        <v>251</v>
      </c>
      <c r="F51" s="17" t="s">
        <v>712</v>
      </c>
      <c r="G51" s="17" t="s">
        <v>693</v>
      </c>
      <c r="H51" s="17" t="s">
        <v>713</v>
      </c>
      <c r="I51" s="17" t="s">
        <v>714</v>
      </c>
      <c r="J51" s="17" t="s">
        <v>696</v>
      </c>
      <c r="K51" s="17" t="s">
        <v>494</v>
      </c>
      <c r="L51" s="17" t="s">
        <v>496</v>
      </c>
      <c r="M51" s="17" t="s">
        <v>495</v>
      </c>
      <c r="N51" s="18" t="b">
        <v>1</v>
      </c>
      <c r="O51" s="18" t="b">
        <v>0</v>
      </c>
      <c r="P51" s="18" t="b">
        <v>1</v>
      </c>
      <c r="Q51" s="17" t="s">
        <v>319</v>
      </c>
      <c r="R51" s="17" t="s">
        <v>714</v>
      </c>
      <c r="S51" s="17" t="s">
        <v>497</v>
      </c>
      <c r="T51" s="20">
        <v>46215.0</v>
      </c>
      <c r="U51" s="19"/>
      <c r="V51" s="17"/>
      <c r="W51" s="17"/>
      <c r="X51" s="17"/>
      <c r="Y51" s="17"/>
      <c r="Z51" s="17"/>
      <c r="AA51" s="17"/>
      <c r="AB51" s="17"/>
      <c r="AC51" s="17"/>
    </row>
    <row r="52" ht="37.5" customHeight="1">
      <c r="A52" s="12" t="s">
        <v>122</v>
      </c>
      <c r="B52" s="12" t="s">
        <v>499</v>
      </c>
      <c r="C52" s="12" t="s">
        <v>711</v>
      </c>
      <c r="D52" s="12" t="s">
        <v>498</v>
      </c>
      <c r="E52" s="12" t="s">
        <v>112</v>
      </c>
      <c r="F52" s="12" t="s">
        <v>715</v>
      </c>
      <c r="G52" s="12" t="s">
        <v>716</v>
      </c>
      <c r="H52" s="12" t="s">
        <v>717</v>
      </c>
      <c r="I52" s="12" t="s">
        <v>718</v>
      </c>
      <c r="J52" s="12" t="s">
        <v>719</v>
      </c>
      <c r="K52" s="12" t="s">
        <v>500</v>
      </c>
      <c r="L52" s="12" t="s">
        <v>503</v>
      </c>
      <c r="M52" s="12" t="s">
        <v>502</v>
      </c>
      <c r="N52" s="13" t="b">
        <v>1</v>
      </c>
      <c r="O52" s="13" t="b">
        <v>0</v>
      </c>
      <c r="P52" s="13" t="b">
        <v>0</v>
      </c>
      <c r="Q52" s="12" t="s">
        <v>319</v>
      </c>
      <c r="R52" s="12" t="s">
        <v>718</v>
      </c>
      <c r="S52" s="12" t="s">
        <v>504</v>
      </c>
      <c r="T52" s="15">
        <v>46215.0</v>
      </c>
      <c r="U52" s="14"/>
      <c r="V52" s="46" t="s">
        <v>720</v>
      </c>
      <c r="W52" s="12"/>
      <c r="X52" s="12"/>
      <c r="Y52" s="12"/>
      <c r="Z52" s="12"/>
      <c r="AA52" s="12"/>
      <c r="AB52" s="12"/>
      <c r="AC52" s="12"/>
    </row>
    <row r="53" ht="37.5" customHeight="1">
      <c r="A53" s="17" t="s">
        <v>122</v>
      </c>
      <c r="B53" s="47" t="s">
        <v>721</v>
      </c>
      <c r="C53" s="17" t="s">
        <v>711</v>
      </c>
      <c r="D53" s="17" t="s">
        <v>498</v>
      </c>
      <c r="E53" s="17" t="s">
        <v>112</v>
      </c>
      <c r="F53" s="17" t="s">
        <v>715</v>
      </c>
      <c r="G53" s="17" t="s">
        <v>716</v>
      </c>
      <c r="H53" s="17" t="s">
        <v>717</v>
      </c>
      <c r="I53" s="17"/>
      <c r="J53" s="17"/>
      <c r="K53" s="17"/>
      <c r="L53" s="17"/>
      <c r="M53" s="48" t="s">
        <v>722</v>
      </c>
      <c r="N53" s="18" t="b">
        <v>1</v>
      </c>
      <c r="O53" s="18" t="b">
        <v>0</v>
      </c>
      <c r="P53" s="18" t="b">
        <v>1</v>
      </c>
      <c r="Q53" s="17" t="s">
        <v>319</v>
      </c>
      <c r="R53" s="17" t="s">
        <v>718</v>
      </c>
      <c r="S53" s="17"/>
      <c r="T53" s="20">
        <v>46235.0</v>
      </c>
      <c r="U53" s="20">
        <v>46246.0</v>
      </c>
      <c r="V53" s="33" t="s">
        <v>723</v>
      </c>
      <c r="W53" s="49" t="s">
        <v>724</v>
      </c>
      <c r="X53" s="50" t="s">
        <v>725</v>
      </c>
      <c r="Y53" s="51" t="s">
        <v>726</v>
      </c>
      <c r="Z53" s="33" t="s">
        <v>727</v>
      </c>
      <c r="AA53" s="33" t="s">
        <v>728</v>
      </c>
      <c r="AB53" s="33" t="s">
        <v>729</v>
      </c>
      <c r="AC53" s="33" t="s">
        <v>730</v>
      </c>
    </row>
    <row r="54" ht="37.5" customHeight="1">
      <c r="A54" s="12" t="s">
        <v>122</v>
      </c>
      <c r="B54" s="52" t="s">
        <v>731</v>
      </c>
      <c r="C54" s="16" t="s">
        <v>250</v>
      </c>
      <c r="D54" s="16" t="s">
        <v>526</v>
      </c>
      <c r="E54" s="12" t="s">
        <v>453</v>
      </c>
      <c r="F54" s="12"/>
      <c r="G54" s="12"/>
      <c r="H54" s="12"/>
      <c r="I54" s="12"/>
      <c r="J54" s="12"/>
      <c r="K54" s="12"/>
      <c r="L54" s="12"/>
      <c r="M54" s="53" t="s">
        <v>732</v>
      </c>
      <c r="N54" s="13" t="b">
        <v>1</v>
      </c>
      <c r="O54" s="13" t="b">
        <v>0</v>
      </c>
      <c r="P54" s="13" t="b">
        <v>1</v>
      </c>
      <c r="Q54" s="12"/>
      <c r="R54" s="12"/>
      <c r="S54" s="12"/>
      <c r="T54" s="15">
        <v>46219.0</v>
      </c>
      <c r="U54" s="14"/>
      <c r="V54" s="12"/>
      <c r="W54" s="12"/>
      <c r="X54" s="12"/>
      <c r="Y54" s="12"/>
      <c r="Z54" s="12"/>
      <c r="AA54" s="12"/>
      <c r="AB54" s="12"/>
      <c r="AC54" s="12"/>
    </row>
    <row r="55" ht="37.5" customHeight="1">
      <c r="A55" s="33" t="s">
        <v>111</v>
      </c>
      <c r="B55" s="42" t="s">
        <v>733</v>
      </c>
      <c r="C55" s="33" t="s">
        <v>46</v>
      </c>
      <c r="D55" s="33" t="s">
        <v>734</v>
      </c>
      <c r="E55" s="33" t="s">
        <v>453</v>
      </c>
      <c r="F55" s="17"/>
      <c r="G55" s="17"/>
      <c r="H55" s="17"/>
      <c r="I55" s="17"/>
      <c r="J55" s="17"/>
      <c r="K55" s="17"/>
      <c r="L55" s="17"/>
      <c r="M55" s="48" t="s">
        <v>735</v>
      </c>
      <c r="N55" s="18" t="b">
        <v>1</v>
      </c>
      <c r="O55" s="18" t="b">
        <v>0</v>
      </c>
      <c r="P55" s="18" t="b">
        <v>1</v>
      </c>
      <c r="Q55" s="17"/>
      <c r="R55" s="17"/>
      <c r="S55" s="17"/>
      <c r="T55" s="20">
        <v>46227.0</v>
      </c>
      <c r="U55" s="19"/>
      <c r="V55" s="17"/>
      <c r="W55" s="17"/>
      <c r="X55" s="17"/>
      <c r="Y55" s="17"/>
      <c r="Z55" s="17"/>
      <c r="AA55" s="17"/>
      <c r="AB55" s="17"/>
      <c r="AC55" s="17"/>
    </row>
    <row r="56" ht="37.5" customHeight="1">
      <c r="A56" s="16" t="s">
        <v>122</v>
      </c>
      <c r="B56" s="16" t="s">
        <v>736</v>
      </c>
      <c r="C56" s="16" t="s">
        <v>46</v>
      </c>
      <c r="D56" s="16" t="s">
        <v>737</v>
      </c>
      <c r="E56" s="16" t="s">
        <v>738</v>
      </c>
      <c r="F56" s="12"/>
      <c r="G56" s="12"/>
      <c r="H56" s="12"/>
      <c r="I56" s="12"/>
      <c r="J56" s="12"/>
      <c r="K56" s="12"/>
      <c r="L56" s="12"/>
      <c r="M56" s="54" t="s">
        <v>739</v>
      </c>
      <c r="N56" s="13" t="b">
        <v>1</v>
      </c>
      <c r="O56" s="13" t="b">
        <v>0</v>
      </c>
      <c r="P56" s="13" t="b">
        <v>1</v>
      </c>
      <c r="Q56" s="12"/>
      <c r="R56" s="12"/>
      <c r="S56" s="12"/>
      <c r="T56" s="15">
        <v>46228.0</v>
      </c>
      <c r="U56" s="14"/>
      <c r="V56" s="16" t="s">
        <v>740</v>
      </c>
      <c r="W56" s="12"/>
      <c r="X56" s="12"/>
      <c r="Y56" s="12"/>
      <c r="Z56" s="12"/>
      <c r="AA56" s="12"/>
      <c r="AB56" s="12"/>
      <c r="AC56" s="12"/>
    </row>
    <row r="57" ht="37.5" customHeight="1">
      <c r="A57" s="17" t="s">
        <v>122</v>
      </c>
      <c r="B57" s="33" t="s">
        <v>741</v>
      </c>
      <c r="C57" s="17" t="s">
        <v>46</v>
      </c>
      <c r="D57" s="17" t="s">
        <v>742</v>
      </c>
      <c r="E57" s="17" t="s">
        <v>743</v>
      </c>
      <c r="F57" s="17" t="s">
        <v>744</v>
      </c>
      <c r="G57" s="17" t="s">
        <v>745</v>
      </c>
      <c r="H57" s="17" t="s">
        <v>746</v>
      </c>
      <c r="I57" s="55" t="s">
        <v>747</v>
      </c>
      <c r="J57" s="17" t="s">
        <v>748</v>
      </c>
      <c r="K57" s="17" t="s">
        <v>749</v>
      </c>
      <c r="L57" s="17" t="s">
        <v>746</v>
      </c>
      <c r="M57" s="43" t="s">
        <v>750</v>
      </c>
      <c r="N57" s="18" t="b">
        <v>1</v>
      </c>
      <c r="O57" s="18" t="b">
        <v>0</v>
      </c>
      <c r="P57" s="18" t="b">
        <v>1</v>
      </c>
      <c r="Q57" s="17" t="s">
        <v>319</v>
      </c>
      <c r="R57" s="55" t="s">
        <v>747</v>
      </c>
      <c r="S57" s="17" t="s">
        <v>751</v>
      </c>
      <c r="T57" s="20">
        <v>46228.0</v>
      </c>
      <c r="U57" s="19"/>
      <c r="V57" s="17"/>
      <c r="W57" s="17"/>
      <c r="X57" s="17"/>
      <c r="Y57" s="17"/>
      <c r="Z57" s="17"/>
      <c r="AA57" s="17"/>
      <c r="AB57" s="17"/>
      <c r="AC57" s="17"/>
    </row>
    <row r="58" ht="37.5" customHeight="1">
      <c r="A58" s="12" t="s">
        <v>122</v>
      </c>
      <c r="B58" s="16" t="s">
        <v>752</v>
      </c>
      <c r="C58" s="12" t="s">
        <v>753</v>
      </c>
      <c r="D58" s="12" t="s">
        <v>754</v>
      </c>
      <c r="E58" s="12" t="s">
        <v>755</v>
      </c>
      <c r="F58" s="12" t="s">
        <v>756</v>
      </c>
      <c r="G58" s="12" t="s">
        <v>745</v>
      </c>
      <c r="H58" s="12" t="s">
        <v>757</v>
      </c>
      <c r="I58" s="56" t="s">
        <v>758</v>
      </c>
      <c r="J58" s="12" t="s">
        <v>759</v>
      </c>
      <c r="K58" s="12" t="s">
        <v>749</v>
      </c>
      <c r="L58" s="12" t="s">
        <v>757</v>
      </c>
      <c r="M58" s="57" t="s">
        <v>760</v>
      </c>
      <c r="N58" s="13" t="b">
        <v>1</v>
      </c>
      <c r="O58" s="13" t="b">
        <v>0</v>
      </c>
      <c r="P58" s="13" t="b">
        <v>1</v>
      </c>
      <c r="Q58" s="12" t="s">
        <v>319</v>
      </c>
      <c r="R58" s="56" t="s">
        <v>758</v>
      </c>
      <c r="S58" s="12" t="s">
        <v>761</v>
      </c>
      <c r="T58" s="15">
        <v>46228.0</v>
      </c>
      <c r="U58" s="14"/>
      <c r="V58" s="12"/>
      <c r="W58" s="12"/>
      <c r="X58" s="12"/>
      <c r="Y58" s="12"/>
      <c r="Z58" s="12"/>
      <c r="AA58" s="12"/>
      <c r="AB58" s="12"/>
      <c r="AC58" s="12"/>
    </row>
    <row r="59" ht="37.5" customHeight="1">
      <c r="A59" s="17" t="s">
        <v>122</v>
      </c>
      <c r="B59" s="17" t="s">
        <v>762</v>
      </c>
      <c r="C59" s="17" t="s">
        <v>86</v>
      </c>
      <c r="D59" s="17" t="s">
        <v>737</v>
      </c>
      <c r="E59" s="17" t="s">
        <v>738</v>
      </c>
      <c r="F59" s="17" t="s">
        <v>763</v>
      </c>
      <c r="G59" s="17" t="s">
        <v>628</v>
      </c>
      <c r="H59" s="17" t="s">
        <v>764</v>
      </c>
      <c r="I59" s="55" t="s">
        <v>765</v>
      </c>
      <c r="J59" s="17" t="s">
        <v>766</v>
      </c>
      <c r="K59" s="17" t="s">
        <v>767</v>
      </c>
      <c r="L59" s="17" t="s">
        <v>764</v>
      </c>
      <c r="M59" s="43" t="s">
        <v>768</v>
      </c>
      <c r="N59" s="18" t="b">
        <v>1</v>
      </c>
      <c r="O59" s="18" t="b">
        <v>0</v>
      </c>
      <c r="P59" s="18" t="b">
        <v>1</v>
      </c>
      <c r="Q59" s="17" t="s">
        <v>769</v>
      </c>
      <c r="R59" s="55" t="s">
        <v>765</v>
      </c>
      <c r="S59" s="17" t="s">
        <v>770</v>
      </c>
      <c r="T59" s="20">
        <v>46228.0</v>
      </c>
      <c r="U59" s="19"/>
      <c r="V59" s="17"/>
      <c r="W59" s="17"/>
      <c r="X59" s="17"/>
      <c r="Y59" s="17"/>
      <c r="Z59" s="17"/>
      <c r="AA59" s="17"/>
      <c r="AB59" s="17"/>
      <c r="AC59" s="17"/>
    </row>
    <row r="60" ht="37.5" customHeight="1">
      <c r="A60" s="12" t="s">
        <v>122</v>
      </c>
      <c r="B60" s="12" t="s">
        <v>771</v>
      </c>
      <c r="C60" s="12" t="s">
        <v>527</v>
      </c>
      <c r="D60" s="12" t="s">
        <v>321</v>
      </c>
      <c r="E60" s="12" t="s">
        <v>141</v>
      </c>
      <c r="F60" s="12" t="s">
        <v>568</v>
      </c>
      <c r="G60" s="12" t="s">
        <v>569</v>
      </c>
      <c r="H60" s="12" t="s">
        <v>570</v>
      </c>
      <c r="I60" s="12" t="s">
        <v>571</v>
      </c>
      <c r="J60" s="12" t="s">
        <v>572</v>
      </c>
      <c r="K60" s="12" t="s">
        <v>772</v>
      </c>
      <c r="L60" s="12" t="s">
        <v>773</v>
      </c>
      <c r="M60" s="57" t="s">
        <v>774</v>
      </c>
      <c r="N60" s="13" t="b">
        <v>1</v>
      </c>
      <c r="O60" s="13" t="b">
        <v>0</v>
      </c>
      <c r="P60" s="13" t="b">
        <v>1</v>
      </c>
      <c r="Q60" s="12" t="s">
        <v>775</v>
      </c>
      <c r="R60" s="12" t="s">
        <v>571</v>
      </c>
      <c r="S60" s="12" t="s">
        <v>326</v>
      </c>
      <c r="T60" s="15">
        <v>46229.0</v>
      </c>
      <c r="U60" s="14"/>
      <c r="V60" s="16" t="s">
        <v>776</v>
      </c>
      <c r="W60" s="12"/>
      <c r="X60" s="12"/>
      <c r="Y60" s="12"/>
      <c r="Z60" s="12"/>
      <c r="AA60" s="12"/>
      <c r="AB60" s="12"/>
      <c r="AC60" s="12"/>
    </row>
    <row r="61" ht="37.5" customHeight="1">
      <c r="A61" s="33" t="s">
        <v>122</v>
      </c>
      <c r="B61" s="33" t="s">
        <v>777</v>
      </c>
      <c r="C61" s="33" t="s">
        <v>527</v>
      </c>
      <c r="D61" s="33" t="s">
        <v>778</v>
      </c>
      <c r="E61" s="33" t="s">
        <v>738</v>
      </c>
      <c r="F61" s="17"/>
      <c r="G61" s="17"/>
      <c r="H61" s="17"/>
      <c r="I61" s="17"/>
      <c r="J61" s="17"/>
      <c r="K61" s="17"/>
      <c r="L61" s="17"/>
      <c r="M61" s="17"/>
      <c r="N61" s="18" t="b">
        <v>1</v>
      </c>
      <c r="O61" s="18" t="b">
        <v>0</v>
      </c>
      <c r="P61" s="18" t="b">
        <v>1</v>
      </c>
      <c r="Q61" s="17"/>
      <c r="R61" s="17"/>
      <c r="S61" s="17"/>
      <c r="T61" s="20">
        <v>46229.0</v>
      </c>
      <c r="U61" s="19"/>
      <c r="V61" s="17"/>
      <c r="W61" s="17"/>
      <c r="X61" s="17"/>
      <c r="Y61" s="17"/>
      <c r="Z61" s="17"/>
      <c r="AA61" s="17"/>
      <c r="AB61" s="17"/>
      <c r="AC61" s="17"/>
    </row>
    <row r="62" ht="37.5" customHeight="1">
      <c r="A62" s="12" t="s">
        <v>122</v>
      </c>
      <c r="B62" s="12" t="s">
        <v>779</v>
      </c>
      <c r="C62" s="12" t="s">
        <v>780</v>
      </c>
      <c r="D62" s="12" t="s">
        <v>781</v>
      </c>
      <c r="E62" s="12" t="s">
        <v>115</v>
      </c>
      <c r="F62" s="12" t="s">
        <v>782</v>
      </c>
      <c r="G62" s="12" t="s">
        <v>119</v>
      </c>
      <c r="H62" s="12" t="s">
        <v>783</v>
      </c>
      <c r="I62" s="12" t="s">
        <v>784</v>
      </c>
      <c r="J62" s="12" t="s">
        <v>539</v>
      </c>
      <c r="K62" s="12" t="s">
        <v>380</v>
      </c>
      <c r="L62" s="12" t="s">
        <v>785</v>
      </c>
      <c r="M62" s="54" t="s">
        <v>786</v>
      </c>
      <c r="N62" s="13" t="b">
        <v>1</v>
      </c>
      <c r="O62" s="13" t="b">
        <v>0</v>
      </c>
      <c r="P62" s="13" t="b">
        <v>1</v>
      </c>
      <c r="Q62" s="12" t="s">
        <v>319</v>
      </c>
      <c r="R62" s="12" t="s">
        <v>784</v>
      </c>
      <c r="S62" s="12" t="s">
        <v>787</v>
      </c>
      <c r="T62" s="15">
        <v>46229.0</v>
      </c>
      <c r="U62" s="14"/>
      <c r="V62" s="12"/>
      <c r="W62" s="12"/>
      <c r="X62" s="12"/>
      <c r="Y62" s="12"/>
      <c r="Z62" s="12"/>
      <c r="AA62" s="12"/>
      <c r="AB62" s="12"/>
      <c r="AC62" s="12"/>
    </row>
    <row r="63" ht="37.5" customHeight="1">
      <c r="A63" s="33" t="s">
        <v>122</v>
      </c>
      <c r="B63" s="33" t="s">
        <v>788</v>
      </c>
      <c r="C63" s="33" t="s">
        <v>46</v>
      </c>
      <c r="D63" s="33" t="s">
        <v>789</v>
      </c>
      <c r="E63" s="17" t="s">
        <v>738</v>
      </c>
      <c r="F63" s="17"/>
      <c r="G63" s="17"/>
      <c r="H63" s="17"/>
      <c r="I63" s="17"/>
      <c r="J63" s="17"/>
      <c r="K63" s="17"/>
      <c r="L63" s="17"/>
      <c r="M63" s="33"/>
      <c r="N63" s="18" t="b">
        <v>1</v>
      </c>
      <c r="O63" s="18" t="b">
        <v>0</v>
      </c>
      <c r="P63" s="18" t="b">
        <v>1</v>
      </c>
      <c r="Q63" s="17"/>
      <c r="R63" s="17"/>
      <c r="S63" s="17"/>
      <c r="T63" s="20">
        <v>46229.0</v>
      </c>
      <c r="U63" s="19"/>
      <c r="V63" s="33"/>
      <c r="W63" s="17"/>
      <c r="X63" s="17"/>
      <c r="Y63" s="17"/>
      <c r="Z63" s="17"/>
      <c r="AA63" s="17"/>
      <c r="AB63" s="17"/>
      <c r="AC63" s="17"/>
    </row>
    <row r="64" ht="37.5" customHeight="1">
      <c r="A64" s="12" t="s">
        <v>122</v>
      </c>
      <c r="B64" s="12" t="s">
        <v>790</v>
      </c>
      <c r="C64" s="12" t="s">
        <v>86</v>
      </c>
      <c r="D64" s="12" t="s">
        <v>791</v>
      </c>
      <c r="E64" s="12" t="s">
        <v>738</v>
      </c>
      <c r="F64" s="12" t="s">
        <v>792</v>
      </c>
      <c r="G64" s="12" t="s">
        <v>745</v>
      </c>
      <c r="H64" s="12" t="s">
        <v>793</v>
      </c>
      <c r="I64" s="56" t="s">
        <v>794</v>
      </c>
      <c r="J64" s="12" t="s">
        <v>795</v>
      </c>
      <c r="K64" s="12" t="s">
        <v>767</v>
      </c>
      <c r="L64" s="12" t="s">
        <v>793</v>
      </c>
      <c r="M64" s="57" t="s">
        <v>796</v>
      </c>
      <c r="N64" s="13" t="b">
        <v>1</v>
      </c>
      <c r="O64" s="13" t="b">
        <v>0</v>
      </c>
      <c r="P64" s="13" t="b">
        <v>1</v>
      </c>
      <c r="Q64" s="12" t="s">
        <v>769</v>
      </c>
      <c r="R64" s="56" t="s">
        <v>794</v>
      </c>
      <c r="S64" s="12" t="s">
        <v>797</v>
      </c>
      <c r="T64" s="15">
        <v>46229.0</v>
      </c>
      <c r="U64" s="14"/>
      <c r="V64" s="12"/>
      <c r="W64" s="12"/>
      <c r="X64" s="12"/>
      <c r="Y64" s="12"/>
      <c r="Z64" s="12"/>
      <c r="AA64" s="12"/>
      <c r="AB64" s="12"/>
      <c r="AC64" s="12"/>
    </row>
    <row r="65" ht="37.5" customHeight="1">
      <c r="A65" s="17" t="s">
        <v>123</v>
      </c>
      <c r="B65" s="17" t="s">
        <v>798</v>
      </c>
      <c r="C65" s="17" t="s">
        <v>799</v>
      </c>
      <c r="D65" s="17" t="s">
        <v>737</v>
      </c>
      <c r="E65" s="17" t="s">
        <v>738</v>
      </c>
      <c r="F65" s="17" t="s">
        <v>800</v>
      </c>
      <c r="G65" s="17" t="s">
        <v>801</v>
      </c>
      <c r="H65" s="17" t="s">
        <v>802</v>
      </c>
      <c r="I65" s="55" t="s">
        <v>803</v>
      </c>
      <c r="J65" s="17" t="s">
        <v>766</v>
      </c>
      <c r="K65" s="17" t="s">
        <v>767</v>
      </c>
      <c r="L65" s="17" t="s">
        <v>802</v>
      </c>
      <c r="M65" s="43" t="s">
        <v>804</v>
      </c>
      <c r="N65" s="18" t="b">
        <v>1</v>
      </c>
      <c r="O65" s="18" t="b">
        <v>0</v>
      </c>
      <c r="P65" s="18" t="b">
        <v>1</v>
      </c>
      <c r="Q65" s="17" t="s">
        <v>775</v>
      </c>
      <c r="R65" s="55" t="s">
        <v>803</v>
      </c>
      <c r="S65" s="17" t="s">
        <v>805</v>
      </c>
      <c r="T65" s="20">
        <v>46229.0</v>
      </c>
      <c r="U65" s="19"/>
      <c r="V65" s="17"/>
      <c r="W65" s="17"/>
      <c r="X65" s="17"/>
      <c r="Y65" s="17"/>
      <c r="Z65" s="17"/>
      <c r="AA65" s="17"/>
      <c r="AB65" s="17"/>
      <c r="AC65" s="17"/>
    </row>
    <row r="66" ht="37.5" customHeight="1">
      <c r="A66" s="12" t="s">
        <v>122</v>
      </c>
      <c r="B66" s="12" t="s">
        <v>406</v>
      </c>
      <c r="C66" s="12" t="s">
        <v>527</v>
      </c>
      <c r="D66" s="12" t="s">
        <v>404</v>
      </c>
      <c r="E66" s="12" t="s">
        <v>115</v>
      </c>
      <c r="F66" s="12" t="s">
        <v>806</v>
      </c>
      <c r="G66" s="12" t="s">
        <v>622</v>
      </c>
      <c r="H66" s="12" t="s">
        <v>807</v>
      </c>
      <c r="I66" s="12" t="s">
        <v>808</v>
      </c>
      <c r="J66" s="12" t="s">
        <v>550</v>
      </c>
      <c r="K66" s="12" t="s">
        <v>407</v>
      </c>
      <c r="L66" s="12" t="s">
        <v>409</v>
      </c>
      <c r="M66" s="12" t="s">
        <v>408</v>
      </c>
      <c r="N66" s="13" t="b">
        <v>1</v>
      </c>
      <c r="O66" s="13" t="b">
        <v>0</v>
      </c>
      <c r="P66" s="13" t="b">
        <v>0</v>
      </c>
      <c r="Q66" s="12" t="s">
        <v>397</v>
      </c>
      <c r="R66" s="12" t="s">
        <v>808</v>
      </c>
      <c r="S66" s="12" t="s">
        <v>410</v>
      </c>
      <c r="T66" s="14"/>
      <c r="U66" s="14"/>
      <c r="V66" s="12"/>
      <c r="W66" s="12"/>
      <c r="X66" s="12"/>
      <c r="Y66" s="12"/>
      <c r="Z66" s="12"/>
      <c r="AA66" s="12"/>
      <c r="AB66" s="12"/>
      <c r="AC66" s="12"/>
    </row>
    <row r="67" ht="37.5" customHeight="1">
      <c r="A67" s="17" t="s">
        <v>122</v>
      </c>
      <c r="B67" s="17" t="s">
        <v>809</v>
      </c>
      <c r="C67" s="17" t="s">
        <v>527</v>
      </c>
      <c r="D67" s="17" t="s">
        <v>404</v>
      </c>
      <c r="E67" s="17" t="s">
        <v>115</v>
      </c>
      <c r="F67" s="17" t="s">
        <v>806</v>
      </c>
      <c r="G67" s="17" t="s">
        <v>622</v>
      </c>
      <c r="H67" s="17" t="s">
        <v>807</v>
      </c>
      <c r="I67" s="17" t="s">
        <v>808</v>
      </c>
      <c r="J67" s="17" t="s">
        <v>550</v>
      </c>
      <c r="K67" s="17" t="s">
        <v>407</v>
      </c>
      <c r="L67" s="17" t="s">
        <v>810</v>
      </c>
      <c r="M67" s="43" t="s">
        <v>811</v>
      </c>
      <c r="N67" s="18" t="b">
        <v>1</v>
      </c>
      <c r="O67" s="18" t="b">
        <v>0</v>
      </c>
      <c r="P67" s="18" t="b">
        <v>1</v>
      </c>
      <c r="Q67" s="17" t="s">
        <v>397</v>
      </c>
      <c r="R67" s="17" t="s">
        <v>808</v>
      </c>
      <c r="S67" s="17" t="s">
        <v>410</v>
      </c>
      <c r="T67" s="19"/>
      <c r="U67" s="19"/>
      <c r="V67" s="44" t="s">
        <v>812</v>
      </c>
      <c r="W67" s="17"/>
      <c r="X67" s="17"/>
      <c r="Y67" s="17"/>
      <c r="Z67" s="17"/>
      <c r="AA67" s="17"/>
      <c r="AB67" s="17"/>
      <c r="AC67" s="17"/>
    </row>
    <row r="68" ht="37.5" customHeight="1">
      <c r="A68" s="12" t="s">
        <v>122</v>
      </c>
      <c r="B68" s="12" t="s">
        <v>813</v>
      </c>
      <c r="C68" s="12" t="s">
        <v>527</v>
      </c>
      <c r="D68" s="12" t="s">
        <v>404</v>
      </c>
      <c r="E68" s="12" t="s">
        <v>115</v>
      </c>
      <c r="F68" s="12" t="s">
        <v>806</v>
      </c>
      <c r="G68" s="12" t="s">
        <v>622</v>
      </c>
      <c r="H68" s="12" t="s">
        <v>807</v>
      </c>
      <c r="I68" s="12" t="s">
        <v>808</v>
      </c>
      <c r="J68" s="12" t="s">
        <v>550</v>
      </c>
      <c r="K68" s="12" t="s">
        <v>407</v>
      </c>
      <c r="L68" s="12" t="s">
        <v>814</v>
      </c>
      <c r="M68" s="54" t="s">
        <v>815</v>
      </c>
      <c r="N68" s="13" t="b">
        <v>1</v>
      </c>
      <c r="O68" s="13" t="b">
        <v>0</v>
      </c>
      <c r="P68" s="13" t="b">
        <v>0</v>
      </c>
      <c r="Q68" s="12" t="s">
        <v>319</v>
      </c>
      <c r="R68" s="12" t="s">
        <v>808</v>
      </c>
      <c r="S68" s="12" t="s">
        <v>410</v>
      </c>
      <c r="T68" s="14"/>
      <c r="U68" s="14"/>
      <c r="V68" s="12"/>
      <c r="W68" s="12"/>
      <c r="X68" s="12"/>
      <c r="Y68" s="12"/>
      <c r="Z68" s="12"/>
      <c r="AA68" s="12"/>
      <c r="AB68" s="12"/>
      <c r="AC68" s="12"/>
    </row>
    <row r="69" ht="37.5" customHeight="1">
      <c r="A69" s="17" t="s">
        <v>122</v>
      </c>
      <c r="B69" s="17" t="s">
        <v>816</v>
      </c>
      <c r="C69" s="17" t="s">
        <v>527</v>
      </c>
      <c r="D69" s="17" t="s">
        <v>556</v>
      </c>
      <c r="E69" s="17" t="s">
        <v>115</v>
      </c>
      <c r="F69" s="17" t="s">
        <v>557</v>
      </c>
      <c r="G69" s="17" t="s">
        <v>119</v>
      </c>
      <c r="H69" s="17" t="s">
        <v>558</v>
      </c>
      <c r="I69" s="17" t="s">
        <v>559</v>
      </c>
      <c r="J69" s="17" t="s">
        <v>560</v>
      </c>
      <c r="K69" s="17" t="s">
        <v>380</v>
      </c>
      <c r="L69" s="17" t="s">
        <v>817</v>
      </c>
      <c r="M69" s="43" t="s">
        <v>818</v>
      </c>
      <c r="N69" s="18" t="b">
        <v>1</v>
      </c>
      <c r="O69" s="18" t="b">
        <v>0</v>
      </c>
      <c r="P69" s="18" t="b">
        <v>0</v>
      </c>
      <c r="Q69" s="17" t="s">
        <v>319</v>
      </c>
      <c r="R69" s="17" t="s">
        <v>559</v>
      </c>
      <c r="S69" s="17" t="s">
        <v>563</v>
      </c>
      <c r="T69" s="19"/>
      <c r="U69" s="19"/>
      <c r="V69" s="17"/>
      <c r="W69" s="17"/>
      <c r="X69" s="17"/>
      <c r="Y69" s="17"/>
      <c r="Z69" s="17"/>
      <c r="AA69" s="17"/>
      <c r="AB69" s="17"/>
      <c r="AC69" s="17"/>
    </row>
    <row r="70" ht="37.5" customHeight="1">
      <c r="A70" s="12" t="s">
        <v>122</v>
      </c>
      <c r="B70" s="12" t="s">
        <v>819</v>
      </c>
      <c r="C70" s="12" t="s">
        <v>527</v>
      </c>
      <c r="D70" s="12" t="s">
        <v>429</v>
      </c>
      <c r="E70" s="12" t="s">
        <v>244</v>
      </c>
      <c r="F70" s="12" t="s">
        <v>564</v>
      </c>
      <c r="G70" s="12" t="s">
        <v>119</v>
      </c>
      <c r="H70" s="12" t="s">
        <v>565</v>
      </c>
      <c r="I70" s="12" t="s">
        <v>566</v>
      </c>
      <c r="J70" s="12" t="s">
        <v>567</v>
      </c>
      <c r="K70" s="12" t="s">
        <v>820</v>
      </c>
      <c r="L70" s="12" t="s">
        <v>821</v>
      </c>
      <c r="M70" s="54" t="s">
        <v>822</v>
      </c>
      <c r="N70" s="13" t="b">
        <v>1</v>
      </c>
      <c r="O70" s="13" t="b">
        <v>0</v>
      </c>
      <c r="P70" s="13" t="b">
        <v>0</v>
      </c>
      <c r="Q70" s="12" t="s">
        <v>341</v>
      </c>
      <c r="R70" s="12" t="s">
        <v>566</v>
      </c>
      <c r="S70" s="12" t="s">
        <v>433</v>
      </c>
      <c r="T70" s="14"/>
      <c r="U70" s="14"/>
      <c r="V70" s="12"/>
      <c r="W70" s="12"/>
      <c r="X70" s="12"/>
      <c r="Y70" s="12"/>
      <c r="Z70" s="12"/>
      <c r="AA70" s="12"/>
      <c r="AB70" s="12"/>
      <c r="AC70" s="12"/>
    </row>
    <row r="71" ht="37.5" customHeight="1">
      <c r="A71" s="17" t="s">
        <v>122</v>
      </c>
      <c r="B71" s="17" t="s">
        <v>823</v>
      </c>
      <c r="C71" s="17" t="s">
        <v>527</v>
      </c>
      <c r="D71" s="17" t="s">
        <v>574</v>
      </c>
      <c r="E71" s="17" t="s">
        <v>112</v>
      </c>
      <c r="F71" s="17" t="s">
        <v>575</v>
      </c>
      <c r="G71" s="17" t="s">
        <v>576</v>
      </c>
      <c r="H71" s="17" t="s">
        <v>577</v>
      </c>
      <c r="I71" s="17" t="s">
        <v>578</v>
      </c>
      <c r="J71" s="17" t="s">
        <v>579</v>
      </c>
      <c r="K71" s="17" t="s">
        <v>580</v>
      </c>
      <c r="L71" s="17" t="s">
        <v>824</v>
      </c>
      <c r="M71" s="17" t="s">
        <v>825</v>
      </c>
      <c r="N71" s="18" t="b">
        <v>1</v>
      </c>
      <c r="O71" s="18" t="b">
        <v>0</v>
      </c>
      <c r="P71" s="18" t="b">
        <v>0</v>
      </c>
      <c r="Q71" s="17" t="s">
        <v>319</v>
      </c>
      <c r="R71" s="17" t="s">
        <v>578</v>
      </c>
      <c r="S71" s="17" t="s">
        <v>583</v>
      </c>
      <c r="T71" s="19"/>
      <c r="U71" s="19"/>
      <c r="V71" s="17"/>
      <c r="W71" s="17"/>
      <c r="X71" s="17"/>
      <c r="Y71" s="17"/>
      <c r="Z71" s="17"/>
      <c r="AA71" s="17"/>
      <c r="AB71" s="17"/>
      <c r="AC71" s="17"/>
    </row>
    <row r="72" ht="37.5" customHeight="1">
      <c r="A72" s="12" t="s">
        <v>122</v>
      </c>
      <c r="B72" s="12" t="s">
        <v>826</v>
      </c>
      <c r="C72" s="12" t="s">
        <v>527</v>
      </c>
      <c r="D72" s="12" t="s">
        <v>574</v>
      </c>
      <c r="E72" s="12" t="s">
        <v>112</v>
      </c>
      <c r="F72" s="12" t="s">
        <v>575</v>
      </c>
      <c r="G72" s="12" t="s">
        <v>576</v>
      </c>
      <c r="H72" s="12" t="s">
        <v>577</v>
      </c>
      <c r="I72" s="12" t="s">
        <v>578</v>
      </c>
      <c r="J72" s="12" t="s">
        <v>579</v>
      </c>
      <c r="K72" s="12" t="s">
        <v>827</v>
      </c>
      <c r="L72" s="12" t="s">
        <v>828</v>
      </c>
      <c r="M72" s="54" t="s">
        <v>829</v>
      </c>
      <c r="N72" s="13" t="b">
        <v>1</v>
      </c>
      <c r="O72" s="13" t="b">
        <v>0</v>
      </c>
      <c r="P72" s="13" t="b">
        <v>0</v>
      </c>
      <c r="Q72" s="12" t="s">
        <v>341</v>
      </c>
      <c r="R72" s="12" t="s">
        <v>578</v>
      </c>
      <c r="S72" s="12" t="s">
        <v>583</v>
      </c>
      <c r="T72" s="14"/>
      <c r="U72" s="14"/>
      <c r="V72" s="12"/>
      <c r="W72" s="12"/>
      <c r="X72" s="12"/>
      <c r="Y72" s="12"/>
      <c r="Z72" s="12"/>
      <c r="AA72" s="12"/>
      <c r="AB72" s="12"/>
      <c r="AC72" s="12"/>
    </row>
    <row r="73" ht="37.5" customHeight="1">
      <c r="A73" s="17" t="s">
        <v>122</v>
      </c>
      <c r="B73" s="17" t="s">
        <v>830</v>
      </c>
      <c r="C73" s="17" t="s">
        <v>527</v>
      </c>
      <c r="D73" s="17" t="s">
        <v>585</v>
      </c>
      <c r="E73" s="17" t="s">
        <v>258</v>
      </c>
      <c r="F73" s="17" t="s">
        <v>586</v>
      </c>
      <c r="G73" s="17" t="s">
        <v>587</v>
      </c>
      <c r="H73" s="17" t="s">
        <v>588</v>
      </c>
      <c r="I73" s="17" t="s">
        <v>589</v>
      </c>
      <c r="J73" s="17" t="s">
        <v>590</v>
      </c>
      <c r="K73" s="17" t="s">
        <v>487</v>
      </c>
      <c r="L73" s="17" t="s">
        <v>831</v>
      </c>
      <c r="M73" s="43" t="s">
        <v>832</v>
      </c>
      <c r="N73" s="18" t="b">
        <v>1</v>
      </c>
      <c r="O73" s="18" t="b">
        <v>0</v>
      </c>
      <c r="P73" s="18" t="b">
        <v>0</v>
      </c>
      <c r="Q73" s="17" t="s">
        <v>319</v>
      </c>
      <c r="R73" s="17" t="s">
        <v>594</v>
      </c>
      <c r="S73" s="17" t="s">
        <v>595</v>
      </c>
      <c r="T73" s="19"/>
      <c r="U73" s="19"/>
      <c r="V73" s="17"/>
      <c r="W73" s="17"/>
      <c r="X73" s="17"/>
      <c r="Y73" s="17"/>
      <c r="Z73" s="17"/>
      <c r="AA73" s="17"/>
      <c r="AB73" s="17"/>
      <c r="AC73" s="17"/>
    </row>
    <row r="74" ht="37.5" customHeight="1">
      <c r="A74" s="12" t="s">
        <v>122</v>
      </c>
      <c r="B74" s="12" t="s">
        <v>833</v>
      </c>
      <c r="C74" s="12" t="s">
        <v>527</v>
      </c>
      <c r="D74" s="12" t="s">
        <v>585</v>
      </c>
      <c r="E74" s="12" t="s">
        <v>258</v>
      </c>
      <c r="F74" s="12" t="s">
        <v>586</v>
      </c>
      <c r="G74" s="12" t="s">
        <v>587</v>
      </c>
      <c r="H74" s="12" t="s">
        <v>588</v>
      </c>
      <c r="I74" s="12" t="s">
        <v>589</v>
      </c>
      <c r="J74" s="12" t="s">
        <v>590</v>
      </c>
      <c r="K74" s="12" t="s">
        <v>834</v>
      </c>
      <c r="L74" s="12" t="s">
        <v>835</v>
      </c>
      <c r="M74" s="54" t="s">
        <v>836</v>
      </c>
      <c r="N74" s="13" t="b">
        <v>1</v>
      </c>
      <c r="O74" s="13" t="b">
        <v>0</v>
      </c>
      <c r="P74" s="13" t="b">
        <v>0</v>
      </c>
      <c r="Q74" s="12" t="s">
        <v>341</v>
      </c>
      <c r="R74" s="12" t="s">
        <v>594</v>
      </c>
      <c r="S74" s="12" t="s">
        <v>595</v>
      </c>
      <c r="T74" s="14"/>
      <c r="U74" s="14"/>
      <c r="V74" s="12"/>
      <c r="W74" s="12"/>
      <c r="X74" s="12"/>
      <c r="Y74" s="12"/>
      <c r="Z74" s="12"/>
      <c r="AA74" s="12"/>
      <c r="AB74" s="12"/>
      <c r="AC74" s="12"/>
    </row>
    <row r="75" ht="37.5" customHeight="1">
      <c r="A75" s="17" t="s">
        <v>122</v>
      </c>
      <c r="B75" s="17" t="s">
        <v>837</v>
      </c>
      <c r="C75" s="17" t="s">
        <v>527</v>
      </c>
      <c r="D75" s="17" t="s">
        <v>342</v>
      </c>
      <c r="E75" s="17" t="s">
        <v>121</v>
      </c>
      <c r="F75" s="17" t="s">
        <v>596</v>
      </c>
      <c r="G75" s="17" t="s">
        <v>597</v>
      </c>
      <c r="H75" s="17" t="s">
        <v>598</v>
      </c>
      <c r="I75" s="17" t="s">
        <v>599</v>
      </c>
      <c r="J75" s="17" t="s">
        <v>600</v>
      </c>
      <c r="K75" s="17" t="s">
        <v>838</v>
      </c>
      <c r="L75" s="17" t="s">
        <v>839</v>
      </c>
      <c r="M75" s="43" t="s">
        <v>840</v>
      </c>
      <c r="N75" s="18" t="b">
        <v>1</v>
      </c>
      <c r="O75" s="18" t="b">
        <v>0</v>
      </c>
      <c r="P75" s="18" t="b">
        <v>0</v>
      </c>
      <c r="Q75" s="17" t="s">
        <v>775</v>
      </c>
      <c r="R75" s="17" t="s">
        <v>599</v>
      </c>
      <c r="S75" s="17" t="s">
        <v>347</v>
      </c>
      <c r="T75" s="19"/>
      <c r="U75" s="19"/>
      <c r="V75" s="17"/>
      <c r="W75" s="17"/>
      <c r="X75" s="17"/>
      <c r="Y75" s="17"/>
      <c r="Z75" s="17"/>
      <c r="AA75" s="17"/>
      <c r="AB75" s="17"/>
      <c r="AC75" s="17"/>
    </row>
    <row r="76" ht="37.5" customHeight="1">
      <c r="A76" s="12" t="s">
        <v>122</v>
      </c>
      <c r="B76" s="12" t="s">
        <v>841</v>
      </c>
      <c r="C76" s="12" t="s">
        <v>527</v>
      </c>
      <c r="D76" s="12" t="s">
        <v>342</v>
      </c>
      <c r="E76" s="12" t="s">
        <v>121</v>
      </c>
      <c r="F76" s="12" t="s">
        <v>596</v>
      </c>
      <c r="G76" s="12" t="s">
        <v>597</v>
      </c>
      <c r="H76" s="12" t="s">
        <v>598</v>
      </c>
      <c r="I76" s="12" t="s">
        <v>599</v>
      </c>
      <c r="J76" s="12" t="s">
        <v>600</v>
      </c>
      <c r="K76" s="12" t="s">
        <v>842</v>
      </c>
      <c r="L76" s="12" t="s">
        <v>843</v>
      </c>
      <c r="M76" s="54" t="s">
        <v>844</v>
      </c>
      <c r="N76" s="13" t="b">
        <v>1</v>
      </c>
      <c r="O76" s="13" t="b">
        <v>0</v>
      </c>
      <c r="P76" s="13" t="b">
        <v>0</v>
      </c>
      <c r="Q76" s="12" t="s">
        <v>775</v>
      </c>
      <c r="R76" s="12" t="s">
        <v>599</v>
      </c>
      <c r="S76" s="12" t="s">
        <v>347</v>
      </c>
      <c r="T76" s="14"/>
      <c r="U76" s="14"/>
      <c r="V76" s="12"/>
      <c r="W76" s="12"/>
      <c r="X76" s="12"/>
      <c r="Y76" s="12"/>
      <c r="Z76" s="12"/>
      <c r="AA76" s="12"/>
      <c r="AB76" s="12"/>
      <c r="AC76" s="12"/>
    </row>
    <row r="77" ht="37.5" customHeight="1">
      <c r="A77" s="17" t="s">
        <v>122</v>
      </c>
      <c r="B77" s="17" t="s">
        <v>845</v>
      </c>
      <c r="C77" s="17" t="s">
        <v>527</v>
      </c>
      <c r="D77" s="17" t="s">
        <v>349</v>
      </c>
      <c r="E77" s="17" t="s">
        <v>31</v>
      </c>
      <c r="F77" s="17" t="s">
        <v>601</v>
      </c>
      <c r="G77" s="17" t="s">
        <v>602</v>
      </c>
      <c r="H77" s="17" t="s">
        <v>603</v>
      </c>
      <c r="I77" s="17" t="s">
        <v>604</v>
      </c>
      <c r="J77" s="17" t="s">
        <v>605</v>
      </c>
      <c r="K77" s="17" t="s">
        <v>846</v>
      </c>
      <c r="L77" s="17" t="s">
        <v>847</v>
      </c>
      <c r="M77" s="43" t="s">
        <v>848</v>
      </c>
      <c r="N77" s="18" t="b">
        <v>1</v>
      </c>
      <c r="O77" s="18" t="b">
        <v>0</v>
      </c>
      <c r="P77" s="18" t="b">
        <v>0</v>
      </c>
      <c r="Q77" s="17" t="s">
        <v>341</v>
      </c>
      <c r="R77" s="17" t="s">
        <v>604</v>
      </c>
      <c r="S77" s="17" t="s">
        <v>354</v>
      </c>
      <c r="T77" s="19"/>
      <c r="U77" s="19"/>
      <c r="V77" s="17"/>
      <c r="W77" s="17"/>
      <c r="X77" s="17"/>
      <c r="Y77" s="17"/>
      <c r="Z77" s="17"/>
      <c r="AA77" s="17"/>
      <c r="AB77" s="17"/>
      <c r="AC77" s="17"/>
    </row>
    <row r="78" ht="37.5" customHeight="1">
      <c r="A78" s="12" t="s">
        <v>122</v>
      </c>
      <c r="B78" s="12" t="s">
        <v>849</v>
      </c>
      <c r="C78" s="12" t="s">
        <v>527</v>
      </c>
      <c r="D78" s="12" t="s">
        <v>349</v>
      </c>
      <c r="E78" s="12" t="s">
        <v>31</v>
      </c>
      <c r="F78" s="12" t="s">
        <v>601</v>
      </c>
      <c r="G78" s="12" t="s">
        <v>602</v>
      </c>
      <c r="H78" s="12" t="s">
        <v>603</v>
      </c>
      <c r="I78" s="12" t="s">
        <v>604</v>
      </c>
      <c r="J78" s="12" t="s">
        <v>605</v>
      </c>
      <c r="K78" s="12" t="s">
        <v>850</v>
      </c>
      <c r="L78" s="12" t="s">
        <v>851</v>
      </c>
      <c r="M78" s="54" t="s">
        <v>852</v>
      </c>
      <c r="N78" s="13" t="b">
        <v>1</v>
      </c>
      <c r="O78" s="13" t="b">
        <v>0</v>
      </c>
      <c r="P78" s="13" t="b">
        <v>0</v>
      </c>
      <c r="Q78" s="12" t="s">
        <v>775</v>
      </c>
      <c r="R78" s="12" t="s">
        <v>604</v>
      </c>
      <c r="S78" s="12" t="s">
        <v>354</v>
      </c>
      <c r="T78" s="14"/>
      <c r="U78" s="14"/>
      <c r="V78" s="12"/>
      <c r="W78" s="12"/>
      <c r="X78" s="12"/>
      <c r="Y78" s="12"/>
      <c r="Z78" s="12"/>
      <c r="AA78" s="12"/>
      <c r="AB78" s="12"/>
      <c r="AC78" s="12"/>
    </row>
    <row r="79" ht="37.5" customHeight="1">
      <c r="A79" s="17" t="s">
        <v>122</v>
      </c>
      <c r="B79" s="17" t="s">
        <v>853</v>
      </c>
      <c r="C79" s="17" t="s">
        <v>527</v>
      </c>
      <c r="D79" s="17" t="s">
        <v>854</v>
      </c>
      <c r="E79" s="17" t="s">
        <v>137</v>
      </c>
      <c r="F79" s="17" t="s">
        <v>855</v>
      </c>
      <c r="G79" s="17" t="s">
        <v>856</v>
      </c>
      <c r="H79" s="17" t="s">
        <v>857</v>
      </c>
      <c r="I79" s="17" t="s">
        <v>858</v>
      </c>
      <c r="J79" s="17" t="s">
        <v>859</v>
      </c>
      <c r="K79" s="17" t="s">
        <v>860</v>
      </c>
      <c r="L79" s="17" t="s">
        <v>861</v>
      </c>
      <c r="M79" s="43" t="s">
        <v>862</v>
      </c>
      <c r="N79" s="18" t="b">
        <v>1</v>
      </c>
      <c r="O79" s="18" t="b">
        <v>0</v>
      </c>
      <c r="P79" s="18" t="b">
        <v>0</v>
      </c>
      <c r="Q79" s="17" t="s">
        <v>319</v>
      </c>
      <c r="R79" s="17" t="s">
        <v>858</v>
      </c>
      <c r="S79" s="17" t="s">
        <v>863</v>
      </c>
      <c r="T79" s="19"/>
      <c r="U79" s="19"/>
      <c r="V79" s="17"/>
      <c r="W79" s="17"/>
      <c r="X79" s="17"/>
      <c r="Y79" s="17"/>
      <c r="Z79" s="17"/>
      <c r="AA79" s="17"/>
      <c r="AB79" s="17"/>
      <c r="AC79" s="17"/>
    </row>
    <row r="80" ht="37.5" customHeight="1">
      <c r="A80" s="12" t="s">
        <v>122</v>
      </c>
      <c r="B80" s="12" t="s">
        <v>864</v>
      </c>
      <c r="C80" s="12" t="s">
        <v>527</v>
      </c>
      <c r="D80" s="12" t="s">
        <v>854</v>
      </c>
      <c r="E80" s="12" t="s">
        <v>137</v>
      </c>
      <c r="F80" s="12" t="s">
        <v>855</v>
      </c>
      <c r="G80" s="12" t="s">
        <v>856</v>
      </c>
      <c r="H80" s="12" t="s">
        <v>857</v>
      </c>
      <c r="I80" s="12" t="s">
        <v>858</v>
      </c>
      <c r="J80" s="12" t="s">
        <v>859</v>
      </c>
      <c r="K80" s="12" t="s">
        <v>865</v>
      </c>
      <c r="L80" s="12" t="s">
        <v>866</v>
      </c>
      <c r="M80" s="54" t="s">
        <v>867</v>
      </c>
      <c r="N80" s="13" t="b">
        <v>0</v>
      </c>
      <c r="O80" s="13" t="b">
        <v>0</v>
      </c>
      <c r="P80" s="13" t="b">
        <v>0</v>
      </c>
      <c r="Q80" s="12" t="s">
        <v>341</v>
      </c>
      <c r="R80" s="12" t="s">
        <v>858</v>
      </c>
      <c r="S80" s="12" t="s">
        <v>863</v>
      </c>
      <c r="T80" s="14"/>
      <c r="U80" s="14"/>
      <c r="V80" s="12"/>
      <c r="W80" s="12"/>
      <c r="X80" s="12"/>
      <c r="Y80" s="12"/>
      <c r="Z80" s="12"/>
      <c r="AA80" s="12"/>
      <c r="AB80" s="12"/>
      <c r="AC80" s="12"/>
    </row>
    <row r="81" ht="37.5" customHeight="1">
      <c r="A81" s="17" t="s">
        <v>122</v>
      </c>
      <c r="B81" s="17" t="s">
        <v>868</v>
      </c>
      <c r="C81" s="17" t="s">
        <v>527</v>
      </c>
      <c r="D81" s="17" t="s">
        <v>854</v>
      </c>
      <c r="E81" s="17" t="s">
        <v>137</v>
      </c>
      <c r="F81" s="17" t="s">
        <v>855</v>
      </c>
      <c r="G81" s="17" t="s">
        <v>856</v>
      </c>
      <c r="H81" s="17" t="s">
        <v>857</v>
      </c>
      <c r="I81" s="17" t="s">
        <v>858</v>
      </c>
      <c r="J81" s="17" t="s">
        <v>859</v>
      </c>
      <c r="K81" s="17" t="s">
        <v>869</v>
      </c>
      <c r="L81" s="17" t="s">
        <v>870</v>
      </c>
      <c r="M81" s="17" t="s">
        <v>871</v>
      </c>
      <c r="N81" s="18" t="b">
        <v>0</v>
      </c>
      <c r="O81" s="18" t="b">
        <v>0</v>
      </c>
      <c r="P81" s="18" t="b">
        <v>0</v>
      </c>
      <c r="Q81" s="17" t="s">
        <v>775</v>
      </c>
      <c r="R81" s="17" t="s">
        <v>858</v>
      </c>
      <c r="S81" s="17" t="s">
        <v>863</v>
      </c>
      <c r="T81" s="19"/>
      <c r="U81" s="19"/>
      <c r="V81" s="17"/>
      <c r="W81" s="17"/>
      <c r="X81" s="17"/>
      <c r="Y81" s="17"/>
      <c r="Z81" s="17"/>
      <c r="AA81" s="17"/>
      <c r="AB81" s="17"/>
      <c r="AC81" s="17"/>
    </row>
    <row r="82" ht="37.5" customHeight="1">
      <c r="A82" s="12" t="s">
        <v>122</v>
      </c>
      <c r="B82" s="12" t="s">
        <v>872</v>
      </c>
      <c r="C82" s="12" t="s">
        <v>527</v>
      </c>
      <c r="D82" s="12" t="s">
        <v>873</v>
      </c>
      <c r="E82" s="12" t="s">
        <v>115</v>
      </c>
      <c r="F82" s="12" t="s">
        <v>874</v>
      </c>
      <c r="G82" s="12" t="s">
        <v>119</v>
      </c>
      <c r="H82" s="12" t="s">
        <v>875</v>
      </c>
      <c r="I82" s="12" t="s">
        <v>876</v>
      </c>
      <c r="J82" s="12" t="s">
        <v>877</v>
      </c>
      <c r="K82" s="12" t="s">
        <v>380</v>
      </c>
      <c r="L82" s="12" t="s">
        <v>878</v>
      </c>
      <c r="M82" s="54" t="s">
        <v>879</v>
      </c>
      <c r="N82" s="13" t="b">
        <v>1</v>
      </c>
      <c r="O82" s="13" t="b">
        <v>0</v>
      </c>
      <c r="P82" s="13" t="b">
        <v>1</v>
      </c>
      <c r="Q82" s="12" t="s">
        <v>319</v>
      </c>
      <c r="R82" s="12" t="s">
        <v>876</v>
      </c>
      <c r="S82" s="12" t="s">
        <v>880</v>
      </c>
      <c r="T82" s="14"/>
      <c r="U82" s="14"/>
      <c r="V82" s="12"/>
      <c r="W82" s="12"/>
      <c r="X82" s="12"/>
      <c r="Y82" s="12"/>
      <c r="Z82" s="12"/>
      <c r="AA82" s="12"/>
      <c r="AB82" s="12"/>
      <c r="AC82" s="12"/>
    </row>
    <row r="83" ht="37.5" customHeight="1">
      <c r="A83" s="17" t="s">
        <v>122</v>
      </c>
      <c r="B83" s="17" t="s">
        <v>881</v>
      </c>
      <c r="C83" s="17" t="s">
        <v>527</v>
      </c>
      <c r="D83" s="17" t="s">
        <v>873</v>
      </c>
      <c r="E83" s="17" t="s">
        <v>115</v>
      </c>
      <c r="F83" s="17" t="s">
        <v>874</v>
      </c>
      <c r="G83" s="17" t="s">
        <v>119</v>
      </c>
      <c r="H83" s="17" t="s">
        <v>875</v>
      </c>
      <c r="I83" s="17" t="s">
        <v>876</v>
      </c>
      <c r="J83" s="17" t="s">
        <v>877</v>
      </c>
      <c r="K83" s="17" t="s">
        <v>380</v>
      </c>
      <c r="L83" s="17" t="s">
        <v>882</v>
      </c>
      <c r="M83" s="43" t="s">
        <v>883</v>
      </c>
      <c r="N83" s="18" t="b">
        <v>1</v>
      </c>
      <c r="O83" s="18" t="b">
        <v>0</v>
      </c>
      <c r="P83" s="18" t="b">
        <v>0</v>
      </c>
      <c r="Q83" s="17" t="s">
        <v>341</v>
      </c>
      <c r="R83" s="17" t="s">
        <v>876</v>
      </c>
      <c r="S83" s="17" t="s">
        <v>880</v>
      </c>
      <c r="T83" s="19"/>
      <c r="U83" s="19"/>
      <c r="V83" s="17"/>
      <c r="W83" s="17"/>
      <c r="X83" s="17"/>
      <c r="Y83" s="17"/>
      <c r="Z83" s="17"/>
      <c r="AA83" s="17"/>
      <c r="AB83" s="17"/>
      <c r="AC83" s="17"/>
    </row>
    <row r="84" ht="37.5" customHeight="1">
      <c r="A84" s="12" t="s">
        <v>122</v>
      </c>
      <c r="B84" s="12" t="s">
        <v>884</v>
      </c>
      <c r="C84" s="12" t="s">
        <v>527</v>
      </c>
      <c r="D84" s="12" t="s">
        <v>873</v>
      </c>
      <c r="E84" s="12" t="s">
        <v>115</v>
      </c>
      <c r="F84" s="12" t="s">
        <v>874</v>
      </c>
      <c r="G84" s="12" t="s">
        <v>119</v>
      </c>
      <c r="H84" s="12" t="s">
        <v>875</v>
      </c>
      <c r="I84" s="12" t="s">
        <v>876</v>
      </c>
      <c r="J84" s="12" t="s">
        <v>877</v>
      </c>
      <c r="K84" s="12" t="s">
        <v>380</v>
      </c>
      <c r="L84" s="12" t="s">
        <v>885</v>
      </c>
      <c r="M84" s="54" t="s">
        <v>886</v>
      </c>
      <c r="N84" s="13" t="b">
        <v>1</v>
      </c>
      <c r="O84" s="13" t="b">
        <v>0</v>
      </c>
      <c r="P84" s="13" t="b">
        <v>0</v>
      </c>
      <c r="Q84" s="12" t="s">
        <v>319</v>
      </c>
      <c r="R84" s="12" t="s">
        <v>876</v>
      </c>
      <c r="S84" s="12" t="s">
        <v>880</v>
      </c>
      <c r="T84" s="14"/>
      <c r="U84" s="14"/>
      <c r="V84" s="12"/>
      <c r="W84" s="12"/>
      <c r="X84" s="12"/>
      <c r="Y84" s="12"/>
      <c r="Z84" s="12"/>
      <c r="AA84" s="12"/>
      <c r="AB84" s="12"/>
      <c r="AC84" s="12"/>
    </row>
    <row r="85" ht="37.5" customHeight="1">
      <c r="A85" s="17" t="s">
        <v>122</v>
      </c>
      <c r="B85" s="17" t="s">
        <v>887</v>
      </c>
      <c r="C85" s="17" t="s">
        <v>617</v>
      </c>
      <c r="D85" s="17" t="s">
        <v>434</v>
      </c>
      <c r="E85" s="17" t="s">
        <v>115</v>
      </c>
      <c r="F85" s="17" t="s">
        <v>618</v>
      </c>
      <c r="G85" s="17" t="s">
        <v>119</v>
      </c>
      <c r="H85" s="17" t="s">
        <v>619</v>
      </c>
      <c r="I85" s="17" t="s">
        <v>620</v>
      </c>
      <c r="J85" s="17" t="s">
        <v>539</v>
      </c>
      <c r="K85" s="17" t="s">
        <v>888</v>
      </c>
      <c r="L85" s="17" t="s">
        <v>889</v>
      </c>
      <c r="M85" s="43" t="s">
        <v>890</v>
      </c>
      <c r="N85" s="18" t="b">
        <v>0</v>
      </c>
      <c r="O85" s="18" t="b">
        <v>0</v>
      </c>
      <c r="P85" s="18" t="b">
        <v>0</v>
      </c>
      <c r="Q85" s="17" t="s">
        <v>319</v>
      </c>
      <c r="R85" s="17" t="s">
        <v>620</v>
      </c>
      <c r="S85" s="17" t="s">
        <v>439</v>
      </c>
      <c r="T85" s="19"/>
      <c r="U85" s="19"/>
      <c r="V85" s="17"/>
      <c r="W85" s="17"/>
      <c r="X85" s="17"/>
      <c r="Y85" s="17"/>
      <c r="Z85" s="17"/>
      <c r="AA85" s="17"/>
      <c r="AB85" s="17"/>
      <c r="AC85" s="17"/>
    </row>
    <row r="86" ht="37.5" customHeight="1">
      <c r="A86" s="12" t="s">
        <v>122</v>
      </c>
      <c r="B86" s="12" t="s">
        <v>891</v>
      </c>
      <c r="C86" s="12" t="s">
        <v>617</v>
      </c>
      <c r="D86" s="12" t="s">
        <v>434</v>
      </c>
      <c r="E86" s="12" t="s">
        <v>115</v>
      </c>
      <c r="F86" s="12" t="s">
        <v>618</v>
      </c>
      <c r="G86" s="12" t="s">
        <v>119</v>
      </c>
      <c r="H86" s="12" t="s">
        <v>619</v>
      </c>
      <c r="I86" s="12" t="s">
        <v>620</v>
      </c>
      <c r="J86" s="12" t="s">
        <v>539</v>
      </c>
      <c r="K86" s="12" t="s">
        <v>380</v>
      </c>
      <c r="L86" s="12" t="s">
        <v>892</v>
      </c>
      <c r="M86" s="12" t="s">
        <v>893</v>
      </c>
      <c r="N86" s="13" t="b">
        <v>0</v>
      </c>
      <c r="O86" s="13" t="b">
        <v>0</v>
      </c>
      <c r="P86" s="13" t="b">
        <v>0</v>
      </c>
      <c r="Q86" s="12" t="s">
        <v>319</v>
      </c>
      <c r="R86" s="12" t="s">
        <v>620</v>
      </c>
      <c r="S86" s="12" t="s">
        <v>439</v>
      </c>
      <c r="T86" s="14"/>
      <c r="U86" s="14"/>
      <c r="V86" s="12"/>
      <c r="W86" s="12"/>
      <c r="X86" s="12"/>
      <c r="Y86" s="12"/>
      <c r="Z86" s="12"/>
      <c r="AA86" s="12"/>
      <c r="AB86" s="12"/>
      <c r="AC86" s="12"/>
    </row>
    <row r="87" ht="37.5" customHeight="1">
      <c r="A87" s="17" t="s">
        <v>122</v>
      </c>
      <c r="B87" s="17" t="s">
        <v>894</v>
      </c>
      <c r="C87" s="17" t="s">
        <v>617</v>
      </c>
      <c r="D87" s="17" t="s">
        <v>442</v>
      </c>
      <c r="E87" s="17" t="s">
        <v>115</v>
      </c>
      <c r="F87" s="17" t="s">
        <v>621</v>
      </c>
      <c r="G87" s="17" t="s">
        <v>622</v>
      </c>
      <c r="H87" s="17" t="s">
        <v>623</v>
      </c>
      <c r="I87" s="17" t="s">
        <v>624</v>
      </c>
      <c r="J87" s="17" t="s">
        <v>539</v>
      </c>
      <c r="K87" s="17" t="s">
        <v>380</v>
      </c>
      <c r="L87" s="17" t="s">
        <v>895</v>
      </c>
      <c r="M87" s="17" t="s">
        <v>896</v>
      </c>
      <c r="N87" s="18" t="b">
        <v>1</v>
      </c>
      <c r="O87" s="18" t="b">
        <v>0</v>
      </c>
      <c r="P87" s="18" t="b">
        <v>0</v>
      </c>
      <c r="Q87" s="17" t="s">
        <v>319</v>
      </c>
      <c r="R87" s="17" t="s">
        <v>624</v>
      </c>
      <c r="S87" s="17" t="s">
        <v>447</v>
      </c>
      <c r="T87" s="19"/>
      <c r="U87" s="19"/>
      <c r="V87" s="17"/>
      <c r="W87" s="17"/>
      <c r="X87" s="17"/>
      <c r="Y87" s="17"/>
      <c r="Z87" s="17"/>
      <c r="AA87" s="17"/>
      <c r="AB87" s="17"/>
      <c r="AC87" s="17"/>
    </row>
    <row r="88" ht="37.5" customHeight="1">
      <c r="A88" s="12" t="s">
        <v>122</v>
      </c>
      <c r="B88" s="12" t="s">
        <v>897</v>
      </c>
      <c r="C88" s="12" t="s">
        <v>617</v>
      </c>
      <c r="D88" s="12" t="s">
        <v>442</v>
      </c>
      <c r="E88" s="12" t="s">
        <v>115</v>
      </c>
      <c r="F88" s="12" t="s">
        <v>621</v>
      </c>
      <c r="G88" s="12" t="s">
        <v>622</v>
      </c>
      <c r="H88" s="12" t="s">
        <v>623</v>
      </c>
      <c r="I88" s="12" t="s">
        <v>624</v>
      </c>
      <c r="J88" s="12" t="s">
        <v>539</v>
      </c>
      <c r="K88" s="12" t="s">
        <v>898</v>
      </c>
      <c r="L88" s="12" t="s">
        <v>899</v>
      </c>
      <c r="M88" s="54" t="s">
        <v>900</v>
      </c>
      <c r="N88" s="13" t="b">
        <v>1</v>
      </c>
      <c r="O88" s="13" t="b">
        <v>0</v>
      </c>
      <c r="P88" s="13" t="b">
        <v>0</v>
      </c>
      <c r="Q88" s="12" t="s">
        <v>341</v>
      </c>
      <c r="R88" s="12" t="s">
        <v>624</v>
      </c>
      <c r="S88" s="12" t="s">
        <v>447</v>
      </c>
      <c r="T88" s="14"/>
      <c r="U88" s="14"/>
      <c r="V88" s="12"/>
      <c r="W88" s="12"/>
      <c r="X88" s="12"/>
      <c r="Y88" s="12"/>
      <c r="Z88" s="12"/>
      <c r="AA88" s="12"/>
      <c r="AB88" s="12"/>
      <c r="AC88" s="12"/>
    </row>
    <row r="89" ht="37.5" customHeight="1">
      <c r="A89" s="17" t="s">
        <v>122</v>
      </c>
      <c r="B89" s="17" t="s">
        <v>901</v>
      </c>
      <c r="C89" s="17" t="s">
        <v>617</v>
      </c>
      <c r="D89" s="17" t="s">
        <v>626</v>
      </c>
      <c r="E89" s="17" t="s">
        <v>115</v>
      </c>
      <c r="F89" s="17" t="s">
        <v>627</v>
      </c>
      <c r="G89" s="17" t="s">
        <v>628</v>
      </c>
      <c r="H89" s="17" t="s">
        <v>629</v>
      </c>
      <c r="I89" s="17" t="s">
        <v>630</v>
      </c>
      <c r="J89" s="17" t="s">
        <v>631</v>
      </c>
      <c r="K89" s="17" t="s">
        <v>902</v>
      </c>
      <c r="L89" s="17" t="s">
        <v>903</v>
      </c>
      <c r="M89" s="43" t="s">
        <v>904</v>
      </c>
      <c r="N89" s="18" t="b">
        <v>1</v>
      </c>
      <c r="O89" s="18" t="b">
        <v>0</v>
      </c>
      <c r="P89" s="18" t="b">
        <v>0</v>
      </c>
      <c r="Q89" s="17" t="s">
        <v>319</v>
      </c>
      <c r="R89" s="17" t="s">
        <v>630</v>
      </c>
      <c r="S89" s="17" t="s">
        <v>634</v>
      </c>
      <c r="T89" s="19"/>
      <c r="U89" s="19"/>
      <c r="V89" s="17"/>
      <c r="W89" s="17"/>
      <c r="X89" s="17"/>
      <c r="Y89" s="17"/>
      <c r="Z89" s="17"/>
      <c r="AA89" s="17"/>
      <c r="AB89" s="17"/>
      <c r="AC89" s="17"/>
    </row>
    <row r="90" ht="37.5" customHeight="1">
      <c r="A90" s="12" t="s">
        <v>122</v>
      </c>
      <c r="B90" s="12" t="s">
        <v>905</v>
      </c>
      <c r="C90" s="12" t="s">
        <v>617</v>
      </c>
      <c r="D90" s="12" t="s">
        <v>355</v>
      </c>
      <c r="E90" s="12" t="s">
        <v>83</v>
      </c>
      <c r="F90" s="12" t="s">
        <v>635</v>
      </c>
      <c r="G90" s="12" t="s">
        <v>636</v>
      </c>
      <c r="H90" s="12" t="s">
        <v>637</v>
      </c>
      <c r="I90" s="12" t="s">
        <v>638</v>
      </c>
      <c r="J90" s="12" t="s">
        <v>639</v>
      </c>
      <c r="K90" s="12" t="s">
        <v>906</v>
      </c>
      <c r="L90" s="12" t="s">
        <v>866</v>
      </c>
      <c r="M90" s="54" t="s">
        <v>907</v>
      </c>
      <c r="N90" s="13" t="b">
        <v>1</v>
      </c>
      <c r="O90" s="13" t="b">
        <v>0</v>
      </c>
      <c r="P90" s="13" t="b">
        <v>0</v>
      </c>
      <c r="Q90" s="12" t="s">
        <v>775</v>
      </c>
      <c r="R90" s="12" t="s">
        <v>638</v>
      </c>
      <c r="S90" s="12" t="s">
        <v>360</v>
      </c>
      <c r="T90" s="14"/>
      <c r="U90" s="14"/>
      <c r="V90" s="12"/>
      <c r="W90" s="12"/>
      <c r="X90" s="12"/>
      <c r="Y90" s="12"/>
      <c r="Z90" s="12"/>
      <c r="AA90" s="12"/>
      <c r="AB90" s="12"/>
      <c r="AC90" s="12"/>
    </row>
    <row r="91" ht="37.5" customHeight="1">
      <c r="A91" s="17" t="s">
        <v>122</v>
      </c>
      <c r="B91" s="33" t="s">
        <v>908</v>
      </c>
      <c r="C91" s="17" t="s">
        <v>617</v>
      </c>
      <c r="D91" s="17" t="s">
        <v>641</v>
      </c>
      <c r="E91" s="17" t="s">
        <v>31</v>
      </c>
      <c r="F91" s="17" t="s">
        <v>642</v>
      </c>
      <c r="G91" s="17" t="s">
        <v>643</v>
      </c>
      <c r="H91" s="17" t="s">
        <v>644</v>
      </c>
      <c r="I91" s="17" t="s">
        <v>645</v>
      </c>
      <c r="J91" s="17" t="s">
        <v>646</v>
      </c>
      <c r="K91" s="17" t="s">
        <v>909</v>
      </c>
      <c r="L91" s="17" t="s">
        <v>910</v>
      </c>
      <c r="M91" s="43" t="s">
        <v>911</v>
      </c>
      <c r="N91" s="18" t="b">
        <v>0</v>
      </c>
      <c r="O91" s="18" t="b">
        <v>0</v>
      </c>
      <c r="P91" s="18" t="b">
        <v>0</v>
      </c>
      <c r="Q91" s="17" t="s">
        <v>775</v>
      </c>
      <c r="R91" s="17" t="s">
        <v>645</v>
      </c>
      <c r="S91" s="17" t="s">
        <v>649</v>
      </c>
      <c r="T91" s="19"/>
      <c r="U91" s="19"/>
      <c r="V91" s="17"/>
      <c r="W91" s="17"/>
      <c r="X91" s="17"/>
      <c r="Y91" s="17"/>
      <c r="Z91" s="17"/>
      <c r="AA91" s="17"/>
      <c r="AB91" s="17"/>
      <c r="AC91" s="17"/>
    </row>
    <row r="92" ht="37.5" customHeight="1">
      <c r="A92" s="12" t="s">
        <v>122</v>
      </c>
      <c r="B92" s="16" t="s">
        <v>912</v>
      </c>
      <c r="C92" s="12" t="s">
        <v>617</v>
      </c>
      <c r="D92" s="12" t="s">
        <v>641</v>
      </c>
      <c r="E92" s="12" t="s">
        <v>31</v>
      </c>
      <c r="F92" s="12" t="s">
        <v>642</v>
      </c>
      <c r="G92" s="12" t="s">
        <v>643</v>
      </c>
      <c r="H92" s="12" t="s">
        <v>644</v>
      </c>
      <c r="I92" s="12" t="s">
        <v>645</v>
      </c>
      <c r="J92" s="12" t="s">
        <v>646</v>
      </c>
      <c r="K92" s="12" t="s">
        <v>913</v>
      </c>
      <c r="L92" s="12" t="s">
        <v>866</v>
      </c>
      <c r="M92" s="12" t="s">
        <v>914</v>
      </c>
      <c r="N92" s="13" t="b">
        <v>1</v>
      </c>
      <c r="O92" s="13" t="b">
        <v>0</v>
      </c>
      <c r="P92" s="13" t="b">
        <v>0</v>
      </c>
      <c r="Q92" s="12" t="s">
        <v>775</v>
      </c>
      <c r="R92" s="12" t="s">
        <v>645</v>
      </c>
      <c r="S92" s="12" t="s">
        <v>649</v>
      </c>
      <c r="T92" s="14"/>
      <c r="U92" s="14"/>
      <c r="V92" s="12"/>
      <c r="W92" s="12"/>
      <c r="X92" s="12"/>
      <c r="Y92" s="12"/>
      <c r="Z92" s="12"/>
      <c r="AA92" s="12"/>
      <c r="AB92" s="12"/>
      <c r="AC92" s="12"/>
    </row>
    <row r="93" ht="37.5" customHeight="1">
      <c r="A93" s="17" t="s">
        <v>122</v>
      </c>
      <c r="B93" s="33" t="s">
        <v>915</v>
      </c>
      <c r="C93" s="17" t="s">
        <v>617</v>
      </c>
      <c r="D93" s="17" t="s">
        <v>361</v>
      </c>
      <c r="E93" s="17" t="s">
        <v>70</v>
      </c>
      <c r="F93" s="17" t="s">
        <v>650</v>
      </c>
      <c r="G93" s="17" t="s">
        <v>651</v>
      </c>
      <c r="H93" s="17" t="s">
        <v>652</v>
      </c>
      <c r="I93" s="17" t="s">
        <v>653</v>
      </c>
      <c r="J93" s="17" t="s">
        <v>654</v>
      </c>
      <c r="K93" s="17" t="s">
        <v>916</v>
      </c>
      <c r="L93" s="17" t="s">
        <v>917</v>
      </c>
      <c r="M93" s="43" t="s">
        <v>918</v>
      </c>
      <c r="N93" s="18" t="b">
        <v>1</v>
      </c>
      <c r="O93" s="18" t="b">
        <v>0</v>
      </c>
      <c r="P93" s="18" t="b">
        <v>0</v>
      </c>
      <c r="Q93" s="17" t="s">
        <v>319</v>
      </c>
      <c r="R93" s="17" t="s">
        <v>653</v>
      </c>
      <c r="S93" s="17" t="s">
        <v>367</v>
      </c>
      <c r="T93" s="19"/>
      <c r="U93" s="19"/>
      <c r="V93" s="17"/>
      <c r="W93" s="17"/>
      <c r="X93" s="17"/>
      <c r="Y93" s="17"/>
      <c r="Z93" s="17"/>
      <c r="AA93" s="17"/>
      <c r="AB93" s="17"/>
      <c r="AC93" s="17"/>
    </row>
    <row r="94" ht="37.5" customHeight="1">
      <c r="A94" s="12" t="s">
        <v>122</v>
      </c>
      <c r="B94" s="16" t="s">
        <v>919</v>
      </c>
      <c r="C94" s="12" t="s">
        <v>617</v>
      </c>
      <c r="D94" s="12" t="s">
        <v>369</v>
      </c>
      <c r="E94" s="12" t="s">
        <v>134</v>
      </c>
      <c r="F94" s="12" t="s">
        <v>655</v>
      </c>
      <c r="G94" s="12" t="s">
        <v>119</v>
      </c>
      <c r="H94" s="12" t="s">
        <v>656</v>
      </c>
      <c r="I94" s="12" t="s">
        <v>657</v>
      </c>
      <c r="J94" s="12" t="s">
        <v>658</v>
      </c>
      <c r="K94" s="12" t="s">
        <v>920</v>
      </c>
      <c r="L94" s="12" t="s">
        <v>921</v>
      </c>
      <c r="M94" s="54" t="s">
        <v>922</v>
      </c>
      <c r="N94" s="13" t="b">
        <v>1</v>
      </c>
      <c r="O94" s="13" t="b">
        <v>0</v>
      </c>
      <c r="P94" s="13" t="b">
        <v>0</v>
      </c>
      <c r="Q94" s="12" t="s">
        <v>319</v>
      </c>
      <c r="R94" s="12" t="s">
        <v>657</v>
      </c>
      <c r="S94" s="12" t="s">
        <v>374</v>
      </c>
      <c r="T94" s="14"/>
      <c r="U94" s="14"/>
      <c r="V94" s="12"/>
      <c r="W94" s="12"/>
      <c r="X94" s="12"/>
      <c r="Y94" s="12"/>
      <c r="Z94" s="12"/>
      <c r="AA94" s="12"/>
      <c r="AB94" s="12"/>
      <c r="AC94" s="12"/>
    </row>
    <row r="95" ht="37.5" customHeight="1">
      <c r="A95" s="17" t="s">
        <v>122</v>
      </c>
      <c r="B95" s="17" t="s">
        <v>923</v>
      </c>
      <c r="C95" s="17" t="s">
        <v>617</v>
      </c>
      <c r="D95" s="17" t="s">
        <v>369</v>
      </c>
      <c r="E95" s="17" t="s">
        <v>134</v>
      </c>
      <c r="F95" s="17" t="s">
        <v>655</v>
      </c>
      <c r="G95" s="17" t="s">
        <v>119</v>
      </c>
      <c r="H95" s="17" t="s">
        <v>656</v>
      </c>
      <c r="I95" s="17" t="s">
        <v>657</v>
      </c>
      <c r="J95" s="17" t="s">
        <v>658</v>
      </c>
      <c r="K95" s="17" t="s">
        <v>380</v>
      </c>
      <c r="L95" s="17" t="s">
        <v>924</v>
      </c>
      <c r="M95" s="43" t="s">
        <v>925</v>
      </c>
      <c r="N95" s="18" t="b">
        <v>1</v>
      </c>
      <c r="O95" s="18" t="b">
        <v>0</v>
      </c>
      <c r="P95" s="18" t="b">
        <v>0</v>
      </c>
      <c r="Q95" s="17" t="s">
        <v>319</v>
      </c>
      <c r="R95" s="17" t="s">
        <v>657</v>
      </c>
      <c r="S95" s="17" t="s">
        <v>374</v>
      </c>
      <c r="T95" s="19"/>
      <c r="U95" s="19"/>
      <c r="V95" s="17"/>
      <c r="W95" s="17"/>
      <c r="X95" s="17"/>
      <c r="Y95" s="17"/>
      <c r="Z95" s="17"/>
      <c r="AA95" s="17"/>
      <c r="AB95" s="17"/>
      <c r="AC95" s="17"/>
    </row>
    <row r="96" ht="37.5" customHeight="1">
      <c r="A96" s="12" t="s">
        <v>122</v>
      </c>
      <c r="B96" s="12" t="s">
        <v>926</v>
      </c>
      <c r="C96" s="12" t="s">
        <v>617</v>
      </c>
      <c r="D96" s="12" t="s">
        <v>376</v>
      </c>
      <c r="E96" s="12" t="s">
        <v>169</v>
      </c>
      <c r="F96" s="12" t="s">
        <v>663</v>
      </c>
      <c r="G96" s="12" t="s">
        <v>664</v>
      </c>
      <c r="H96" s="12" t="s">
        <v>665</v>
      </c>
      <c r="I96" s="12" t="s">
        <v>666</v>
      </c>
      <c r="J96" s="12" t="s">
        <v>539</v>
      </c>
      <c r="K96" s="12" t="s">
        <v>888</v>
      </c>
      <c r="L96" s="12" t="s">
        <v>927</v>
      </c>
      <c r="M96" s="54" t="s">
        <v>928</v>
      </c>
      <c r="N96" s="13" t="b">
        <v>1</v>
      </c>
      <c r="O96" s="13" t="b">
        <v>0</v>
      </c>
      <c r="P96" s="13" t="b">
        <v>0</v>
      </c>
      <c r="Q96" s="12" t="s">
        <v>319</v>
      </c>
      <c r="R96" s="12" t="s">
        <v>666</v>
      </c>
      <c r="S96" s="12" t="s">
        <v>383</v>
      </c>
      <c r="T96" s="14"/>
      <c r="U96" s="14"/>
      <c r="V96" s="12"/>
      <c r="W96" s="12"/>
      <c r="X96" s="12"/>
      <c r="Y96" s="12"/>
      <c r="Z96" s="12"/>
      <c r="AA96" s="12"/>
      <c r="AB96" s="12"/>
      <c r="AC96" s="12"/>
    </row>
    <row r="97" ht="37.5" customHeight="1">
      <c r="A97" s="17" t="s">
        <v>122</v>
      </c>
      <c r="B97" s="17" t="s">
        <v>929</v>
      </c>
      <c r="C97" s="17" t="s">
        <v>617</v>
      </c>
      <c r="D97" s="17" t="s">
        <v>376</v>
      </c>
      <c r="E97" s="17" t="s">
        <v>169</v>
      </c>
      <c r="F97" s="17" t="s">
        <v>663</v>
      </c>
      <c r="G97" s="17" t="s">
        <v>664</v>
      </c>
      <c r="H97" s="17" t="s">
        <v>665</v>
      </c>
      <c r="I97" s="17" t="s">
        <v>666</v>
      </c>
      <c r="J97" s="17" t="s">
        <v>539</v>
      </c>
      <c r="K97" s="17" t="s">
        <v>888</v>
      </c>
      <c r="L97" s="17" t="s">
        <v>930</v>
      </c>
      <c r="M97" s="43" t="s">
        <v>931</v>
      </c>
      <c r="N97" s="18" t="b">
        <v>1</v>
      </c>
      <c r="O97" s="18" t="b">
        <v>0</v>
      </c>
      <c r="P97" s="18" t="b">
        <v>0</v>
      </c>
      <c r="Q97" s="17" t="s">
        <v>319</v>
      </c>
      <c r="R97" s="17" t="s">
        <v>666</v>
      </c>
      <c r="S97" s="17" t="s">
        <v>383</v>
      </c>
      <c r="T97" s="19"/>
      <c r="U97" s="19"/>
      <c r="V97" s="17"/>
      <c r="W97" s="17"/>
      <c r="X97" s="17"/>
      <c r="Y97" s="17"/>
      <c r="Z97" s="17"/>
      <c r="AA97" s="17"/>
      <c r="AB97" s="17"/>
      <c r="AC97" s="17"/>
    </row>
    <row r="98" ht="37.5" customHeight="1">
      <c r="A98" s="58" t="s">
        <v>122</v>
      </c>
      <c r="B98" s="58" t="s">
        <v>932</v>
      </c>
      <c r="C98" s="58" t="s">
        <v>617</v>
      </c>
      <c r="D98" s="58" t="s">
        <v>668</v>
      </c>
      <c r="E98" s="58" t="s">
        <v>195</v>
      </c>
      <c r="F98" s="58" t="s">
        <v>669</v>
      </c>
      <c r="G98" s="58" t="s">
        <v>670</v>
      </c>
      <c r="H98" s="58" t="s">
        <v>671</v>
      </c>
      <c r="I98" s="58" t="s">
        <v>672</v>
      </c>
      <c r="J98" s="58" t="s">
        <v>631</v>
      </c>
      <c r="K98" s="58" t="s">
        <v>933</v>
      </c>
      <c r="L98" s="58" t="s">
        <v>934</v>
      </c>
      <c r="M98" s="59" t="s">
        <v>935</v>
      </c>
      <c r="N98" s="60" t="b">
        <v>0</v>
      </c>
      <c r="O98" s="60" t="b">
        <v>0</v>
      </c>
      <c r="P98" s="60" t="b">
        <v>0</v>
      </c>
      <c r="Q98" s="58" t="s">
        <v>775</v>
      </c>
      <c r="R98" s="58" t="s">
        <v>672</v>
      </c>
      <c r="S98" s="58" t="s">
        <v>675</v>
      </c>
      <c r="T98" s="61"/>
      <c r="U98" s="61"/>
      <c r="V98" s="58"/>
      <c r="W98" s="58"/>
      <c r="X98" s="58"/>
      <c r="Y98" s="58"/>
      <c r="Z98" s="58"/>
      <c r="AA98" s="58"/>
      <c r="AB98" s="58"/>
      <c r="AC98" s="58"/>
    </row>
    <row r="99" ht="37.5" customHeight="1">
      <c r="A99" s="17" t="s">
        <v>122</v>
      </c>
      <c r="B99" s="17" t="s">
        <v>936</v>
      </c>
      <c r="C99" s="17" t="s">
        <v>617</v>
      </c>
      <c r="D99" s="17" t="s">
        <v>668</v>
      </c>
      <c r="E99" s="17" t="s">
        <v>195</v>
      </c>
      <c r="F99" s="17" t="s">
        <v>669</v>
      </c>
      <c r="G99" s="17" t="s">
        <v>670</v>
      </c>
      <c r="H99" s="17" t="s">
        <v>671</v>
      </c>
      <c r="I99" s="17" t="s">
        <v>672</v>
      </c>
      <c r="J99" s="17" t="s">
        <v>631</v>
      </c>
      <c r="K99" s="17" t="s">
        <v>749</v>
      </c>
      <c r="L99" s="17" t="s">
        <v>937</v>
      </c>
      <c r="M99" s="43" t="s">
        <v>938</v>
      </c>
      <c r="N99" s="18" t="b">
        <v>1</v>
      </c>
      <c r="O99" s="18" t="b">
        <v>0</v>
      </c>
      <c r="P99" s="18" t="b">
        <v>0</v>
      </c>
      <c r="Q99" s="17" t="s">
        <v>775</v>
      </c>
      <c r="R99" s="17" t="s">
        <v>672</v>
      </c>
      <c r="S99" s="17" t="s">
        <v>675</v>
      </c>
      <c r="T99" s="19"/>
      <c r="U99" s="19"/>
      <c r="V99" s="17"/>
      <c r="W99" s="17"/>
      <c r="X99" s="17"/>
      <c r="Y99" s="17"/>
      <c r="Z99" s="17"/>
      <c r="AA99" s="17"/>
      <c r="AB99" s="17"/>
      <c r="AC99" s="17"/>
    </row>
    <row r="100" ht="37.5" customHeight="1">
      <c r="A100" s="58" t="s">
        <v>122</v>
      </c>
      <c r="B100" s="58" t="s">
        <v>451</v>
      </c>
      <c r="C100" s="58" t="s">
        <v>617</v>
      </c>
      <c r="D100" s="58" t="s">
        <v>449</v>
      </c>
      <c r="E100" s="58" t="s">
        <v>115</v>
      </c>
      <c r="F100" s="58" t="s">
        <v>939</v>
      </c>
      <c r="G100" s="58" t="s">
        <v>622</v>
      </c>
      <c r="H100" s="58" t="s">
        <v>940</v>
      </c>
      <c r="I100" s="58" t="s">
        <v>941</v>
      </c>
      <c r="J100" s="58" t="s">
        <v>560</v>
      </c>
      <c r="K100" s="58" t="s">
        <v>351</v>
      </c>
      <c r="L100" s="58" t="s">
        <v>454</v>
      </c>
      <c r="M100" s="59" t="s">
        <v>452</v>
      </c>
      <c r="N100" s="60" t="b">
        <v>0</v>
      </c>
      <c r="O100" s="60" t="b">
        <v>0</v>
      </c>
      <c r="P100" s="60" t="b">
        <v>0</v>
      </c>
      <c r="Q100" s="58" t="s">
        <v>319</v>
      </c>
      <c r="R100" s="58" t="s">
        <v>941</v>
      </c>
      <c r="S100" s="58" t="s">
        <v>455</v>
      </c>
      <c r="T100" s="61"/>
      <c r="U100" s="61"/>
      <c r="V100" s="58"/>
      <c r="W100" s="58"/>
      <c r="X100" s="58"/>
      <c r="Y100" s="58"/>
      <c r="Z100" s="58"/>
      <c r="AA100" s="58"/>
      <c r="AB100" s="58"/>
      <c r="AC100" s="58"/>
    </row>
    <row r="101" ht="37.5" customHeight="1">
      <c r="A101" s="17" t="s">
        <v>122</v>
      </c>
      <c r="B101" s="17" t="s">
        <v>942</v>
      </c>
      <c r="C101" s="17" t="s">
        <v>617</v>
      </c>
      <c r="D101" s="17" t="s">
        <v>449</v>
      </c>
      <c r="E101" s="17" t="s">
        <v>115</v>
      </c>
      <c r="F101" s="17" t="s">
        <v>939</v>
      </c>
      <c r="G101" s="17" t="s">
        <v>622</v>
      </c>
      <c r="H101" s="17" t="s">
        <v>940</v>
      </c>
      <c r="I101" s="17" t="s">
        <v>941</v>
      </c>
      <c r="J101" s="17" t="s">
        <v>560</v>
      </c>
      <c r="K101" s="17" t="s">
        <v>380</v>
      </c>
      <c r="L101" s="17" t="s">
        <v>943</v>
      </c>
      <c r="M101" s="43" t="s">
        <v>944</v>
      </c>
      <c r="N101" s="18" t="b">
        <v>1</v>
      </c>
      <c r="O101" s="18" t="b">
        <v>0</v>
      </c>
      <c r="P101" s="18" t="b">
        <v>0</v>
      </c>
      <c r="Q101" s="17" t="s">
        <v>319</v>
      </c>
      <c r="R101" s="17" t="s">
        <v>941</v>
      </c>
      <c r="S101" s="17" t="s">
        <v>455</v>
      </c>
      <c r="T101" s="19"/>
      <c r="U101" s="19"/>
      <c r="V101" s="17"/>
      <c r="W101" s="17"/>
      <c r="X101" s="17"/>
      <c r="Y101" s="17"/>
      <c r="Z101" s="17"/>
      <c r="AA101" s="17"/>
      <c r="AB101" s="17"/>
      <c r="AC101" s="17"/>
    </row>
    <row r="102" ht="37.5" customHeight="1">
      <c r="A102" s="12" t="s">
        <v>122</v>
      </c>
      <c r="B102" s="12" t="s">
        <v>945</v>
      </c>
      <c r="C102" s="12" t="s">
        <v>617</v>
      </c>
      <c r="D102" s="12" t="s">
        <v>449</v>
      </c>
      <c r="E102" s="12" t="s">
        <v>115</v>
      </c>
      <c r="F102" s="12" t="s">
        <v>939</v>
      </c>
      <c r="G102" s="12" t="s">
        <v>622</v>
      </c>
      <c r="H102" s="12" t="s">
        <v>940</v>
      </c>
      <c r="I102" s="12" t="s">
        <v>941</v>
      </c>
      <c r="J102" s="12" t="s">
        <v>560</v>
      </c>
      <c r="K102" s="12" t="s">
        <v>380</v>
      </c>
      <c r="L102" s="12" t="s">
        <v>943</v>
      </c>
      <c r="M102" s="54" t="s">
        <v>946</v>
      </c>
      <c r="N102" s="13" t="b">
        <v>1</v>
      </c>
      <c r="O102" s="13" t="b">
        <v>0</v>
      </c>
      <c r="P102" s="13" t="b">
        <v>0</v>
      </c>
      <c r="Q102" s="12" t="s">
        <v>319</v>
      </c>
      <c r="R102" s="12" t="s">
        <v>941</v>
      </c>
      <c r="S102" s="12" t="s">
        <v>455</v>
      </c>
      <c r="T102" s="14"/>
      <c r="U102" s="14"/>
      <c r="V102" s="12"/>
      <c r="W102" s="12"/>
      <c r="X102" s="12"/>
      <c r="Y102" s="12"/>
      <c r="Z102" s="12"/>
      <c r="AA102" s="12"/>
      <c r="AB102" s="12"/>
      <c r="AC102" s="12"/>
    </row>
    <row r="103" ht="37.5" customHeight="1">
      <c r="A103" s="17" t="s">
        <v>122</v>
      </c>
      <c r="B103" s="17" t="s">
        <v>947</v>
      </c>
      <c r="C103" s="17" t="s">
        <v>677</v>
      </c>
      <c r="D103" s="17" t="s">
        <v>678</v>
      </c>
      <c r="E103" s="17" t="s">
        <v>115</v>
      </c>
      <c r="F103" s="17" t="s">
        <v>679</v>
      </c>
      <c r="G103" s="17" t="s">
        <v>622</v>
      </c>
      <c r="H103" s="17" t="s">
        <v>680</v>
      </c>
      <c r="I103" s="17" t="s">
        <v>681</v>
      </c>
      <c r="J103" s="17" t="s">
        <v>560</v>
      </c>
      <c r="K103" s="17" t="s">
        <v>400</v>
      </c>
      <c r="L103" s="17" t="s">
        <v>948</v>
      </c>
      <c r="M103" s="43" t="s">
        <v>949</v>
      </c>
      <c r="N103" s="18" t="b">
        <v>0</v>
      </c>
      <c r="O103" s="18" t="b">
        <v>1</v>
      </c>
      <c r="P103" s="18" t="b">
        <v>0</v>
      </c>
      <c r="Q103" s="17" t="s">
        <v>319</v>
      </c>
      <c r="R103" s="17" t="s">
        <v>681</v>
      </c>
      <c r="S103" s="17" t="s">
        <v>684</v>
      </c>
      <c r="T103" s="19"/>
      <c r="U103" s="19"/>
      <c r="V103" s="17"/>
      <c r="W103" s="17"/>
      <c r="X103" s="17"/>
      <c r="Y103" s="17"/>
      <c r="Z103" s="17"/>
      <c r="AA103" s="17"/>
      <c r="AB103" s="17"/>
      <c r="AC103" s="17"/>
    </row>
    <row r="104" ht="37.5" customHeight="1">
      <c r="A104" s="12" t="s">
        <v>122</v>
      </c>
      <c r="B104" s="12" t="s">
        <v>950</v>
      </c>
      <c r="C104" s="12" t="s">
        <v>677</v>
      </c>
      <c r="D104" s="12" t="s">
        <v>678</v>
      </c>
      <c r="E104" s="12" t="s">
        <v>115</v>
      </c>
      <c r="F104" s="12" t="s">
        <v>679</v>
      </c>
      <c r="G104" s="12" t="s">
        <v>622</v>
      </c>
      <c r="H104" s="12" t="s">
        <v>680</v>
      </c>
      <c r="I104" s="12" t="s">
        <v>681</v>
      </c>
      <c r="J104" s="12" t="s">
        <v>560</v>
      </c>
      <c r="K104" s="12" t="s">
        <v>380</v>
      </c>
      <c r="L104" s="12" t="s">
        <v>951</v>
      </c>
      <c r="M104" s="54" t="s">
        <v>952</v>
      </c>
      <c r="N104" s="13" t="b">
        <v>0</v>
      </c>
      <c r="O104" s="13" t="b">
        <v>0</v>
      </c>
      <c r="P104" s="13" t="b">
        <v>0</v>
      </c>
      <c r="Q104" s="12" t="s">
        <v>319</v>
      </c>
      <c r="R104" s="12" t="s">
        <v>681</v>
      </c>
      <c r="S104" s="12" t="s">
        <v>684</v>
      </c>
      <c r="T104" s="14"/>
      <c r="U104" s="14"/>
      <c r="V104" s="12"/>
      <c r="W104" s="12"/>
      <c r="X104" s="12"/>
      <c r="Y104" s="12"/>
      <c r="Z104" s="12"/>
      <c r="AA104" s="12"/>
      <c r="AB104" s="12"/>
      <c r="AC104" s="12"/>
    </row>
    <row r="105" ht="37.5" customHeight="1">
      <c r="A105" s="17" t="s">
        <v>122</v>
      </c>
      <c r="B105" s="17" t="s">
        <v>953</v>
      </c>
      <c r="C105" s="17" t="s">
        <v>677</v>
      </c>
      <c r="D105" s="17" t="s">
        <v>456</v>
      </c>
      <c r="E105" s="17" t="s">
        <v>115</v>
      </c>
      <c r="F105" s="17" t="s">
        <v>685</v>
      </c>
      <c r="G105" s="17" t="s">
        <v>119</v>
      </c>
      <c r="H105" s="17" t="s">
        <v>686</v>
      </c>
      <c r="I105" s="17" t="s">
        <v>687</v>
      </c>
      <c r="J105" s="17" t="s">
        <v>560</v>
      </c>
      <c r="K105" s="17" t="s">
        <v>444</v>
      </c>
      <c r="L105" s="17" t="s">
        <v>954</v>
      </c>
      <c r="M105" s="43" t="s">
        <v>955</v>
      </c>
      <c r="N105" s="18" t="b">
        <v>1</v>
      </c>
      <c r="O105" s="18" t="b">
        <v>0</v>
      </c>
      <c r="P105" s="18" t="b">
        <v>0</v>
      </c>
      <c r="Q105" s="17" t="s">
        <v>319</v>
      </c>
      <c r="R105" s="17" t="s">
        <v>687</v>
      </c>
      <c r="S105" s="17" t="s">
        <v>461</v>
      </c>
      <c r="T105" s="19"/>
      <c r="U105" s="19"/>
      <c r="V105" s="17"/>
      <c r="W105" s="17"/>
      <c r="X105" s="17"/>
      <c r="Y105" s="17"/>
      <c r="Z105" s="17"/>
      <c r="AA105" s="17"/>
      <c r="AB105" s="17"/>
      <c r="AC105" s="17"/>
    </row>
    <row r="106" ht="37.5" customHeight="1">
      <c r="A106" s="12" t="s">
        <v>122</v>
      </c>
      <c r="B106" s="12" t="s">
        <v>956</v>
      </c>
      <c r="C106" s="12" t="s">
        <v>677</v>
      </c>
      <c r="D106" s="12" t="s">
        <v>456</v>
      </c>
      <c r="E106" s="12" t="s">
        <v>115</v>
      </c>
      <c r="F106" s="12" t="s">
        <v>685</v>
      </c>
      <c r="G106" s="12" t="s">
        <v>119</v>
      </c>
      <c r="H106" s="12" t="s">
        <v>686</v>
      </c>
      <c r="I106" s="12" t="s">
        <v>687</v>
      </c>
      <c r="J106" s="12" t="s">
        <v>560</v>
      </c>
      <c r="K106" s="12" t="s">
        <v>957</v>
      </c>
      <c r="L106" s="12" t="s">
        <v>958</v>
      </c>
      <c r="M106" s="54" t="s">
        <v>959</v>
      </c>
      <c r="N106" s="13" t="b">
        <v>1</v>
      </c>
      <c r="O106" s="13" t="b">
        <v>0</v>
      </c>
      <c r="P106" s="13" t="b">
        <v>0</v>
      </c>
      <c r="Q106" s="12" t="s">
        <v>775</v>
      </c>
      <c r="R106" s="12" t="s">
        <v>687</v>
      </c>
      <c r="S106" s="12" t="s">
        <v>461</v>
      </c>
      <c r="T106" s="14"/>
      <c r="U106" s="14"/>
      <c r="V106" s="12"/>
      <c r="W106" s="12"/>
      <c r="X106" s="12"/>
      <c r="Y106" s="12"/>
      <c r="Z106" s="12"/>
      <c r="AA106" s="12"/>
      <c r="AB106" s="12"/>
      <c r="AC106" s="12"/>
    </row>
    <row r="107" ht="37.5" customHeight="1">
      <c r="A107" s="17" t="s">
        <v>122</v>
      </c>
      <c r="B107" s="17" t="s">
        <v>960</v>
      </c>
      <c r="C107" s="17" t="s">
        <v>677</v>
      </c>
      <c r="D107" s="17" t="s">
        <v>462</v>
      </c>
      <c r="E107" s="17" t="s">
        <v>115</v>
      </c>
      <c r="F107" s="17" t="s">
        <v>688</v>
      </c>
      <c r="G107" s="17" t="s">
        <v>119</v>
      </c>
      <c r="H107" s="17" t="s">
        <v>689</v>
      </c>
      <c r="I107" s="17" t="s">
        <v>690</v>
      </c>
      <c r="J107" s="17" t="s">
        <v>691</v>
      </c>
      <c r="K107" s="17" t="s">
        <v>961</v>
      </c>
      <c r="L107" s="17" t="s">
        <v>962</v>
      </c>
      <c r="M107" s="62" t="s">
        <v>963</v>
      </c>
      <c r="N107" s="18" t="b">
        <v>1</v>
      </c>
      <c r="O107" s="18" t="b">
        <v>0</v>
      </c>
      <c r="P107" s="18" t="b">
        <v>0</v>
      </c>
      <c r="Q107" s="17" t="s">
        <v>341</v>
      </c>
      <c r="R107" s="17" t="s">
        <v>690</v>
      </c>
      <c r="S107" s="17" t="s">
        <v>467</v>
      </c>
      <c r="T107" s="19"/>
      <c r="U107" s="19"/>
      <c r="V107" s="17"/>
      <c r="W107" s="17"/>
      <c r="X107" s="17"/>
      <c r="Y107" s="17"/>
      <c r="Z107" s="17"/>
      <c r="AA107" s="17"/>
      <c r="AB107" s="17"/>
      <c r="AC107" s="17"/>
    </row>
    <row r="108" ht="37.5" customHeight="1">
      <c r="A108" s="12" t="s">
        <v>122</v>
      </c>
      <c r="B108" s="12" t="s">
        <v>964</v>
      </c>
      <c r="C108" s="12" t="s">
        <v>677</v>
      </c>
      <c r="D108" s="12" t="s">
        <v>462</v>
      </c>
      <c r="E108" s="12" t="s">
        <v>115</v>
      </c>
      <c r="F108" s="12" t="s">
        <v>688</v>
      </c>
      <c r="G108" s="12" t="s">
        <v>119</v>
      </c>
      <c r="H108" s="12" t="s">
        <v>689</v>
      </c>
      <c r="I108" s="12" t="s">
        <v>690</v>
      </c>
      <c r="J108" s="12" t="s">
        <v>691</v>
      </c>
      <c r="K108" s="12" t="s">
        <v>961</v>
      </c>
      <c r="L108" s="12" t="s">
        <v>962</v>
      </c>
      <c r="M108" s="12" t="s">
        <v>965</v>
      </c>
      <c r="N108" s="13" t="b">
        <v>0</v>
      </c>
      <c r="O108" s="13" t="b">
        <v>0</v>
      </c>
      <c r="P108" s="13" t="b">
        <v>0</v>
      </c>
      <c r="Q108" s="12" t="s">
        <v>775</v>
      </c>
      <c r="R108" s="12" t="s">
        <v>690</v>
      </c>
      <c r="S108" s="12" t="s">
        <v>467</v>
      </c>
      <c r="T108" s="14"/>
      <c r="U108" s="14"/>
      <c r="V108" s="12"/>
      <c r="W108" s="12"/>
      <c r="X108" s="12"/>
      <c r="Y108" s="12"/>
      <c r="Z108" s="12"/>
      <c r="AA108" s="12"/>
      <c r="AB108" s="12"/>
      <c r="AC108" s="12"/>
    </row>
    <row r="109" ht="37.5" customHeight="1">
      <c r="A109" s="17" t="s">
        <v>122</v>
      </c>
      <c r="B109" s="17" t="s">
        <v>966</v>
      </c>
      <c r="C109" s="17" t="s">
        <v>677</v>
      </c>
      <c r="D109" s="17" t="s">
        <v>967</v>
      </c>
      <c r="E109" s="17" t="s">
        <v>115</v>
      </c>
      <c r="F109" s="17" t="s">
        <v>968</v>
      </c>
      <c r="G109" s="17" t="s">
        <v>119</v>
      </c>
      <c r="H109" s="17" t="s">
        <v>969</v>
      </c>
      <c r="I109" s="17" t="s">
        <v>970</v>
      </c>
      <c r="J109" s="17" t="s">
        <v>971</v>
      </c>
      <c r="K109" s="17" t="s">
        <v>444</v>
      </c>
      <c r="L109" s="17" t="s">
        <v>972</v>
      </c>
      <c r="M109" s="17" t="s">
        <v>973</v>
      </c>
      <c r="N109" s="18" t="b">
        <v>0</v>
      </c>
      <c r="O109" s="18" t="b">
        <v>0</v>
      </c>
      <c r="P109" s="18" t="b">
        <v>0</v>
      </c>
      <c r="Q109" s="17" t="s">
        <v>341</v>
      </c>
      <c r="R109" s="17" t="s">
        <v>970</v>
      </c>
      <c r="S109" s="17" t="s">
        <v>974</v>
      </c>
      <c r="T109" s="19"/>
      <c r="U109" s="19"/>
      <c r="V109" s="17"/>
      <c r="W109" s="17"/>
      <c r="X109" s="17"/>
      <c r="Y109" s="17"/>
      <c r="Z109" s="17"/>
      <c r="AA109" s="17"/>
      <c r="AB109" s="17"/>
      <c r="AC109" s="17"/>
    </row>
    <row r="110" ht="37.5" customHeight="1">
      <c r="A110" s="12" t="s">
        <v>122</v>
      </c>
      <c r="B110" s="12" t="s">
        <v>975</v>
      </c>
      <c r="C110" s="12" t="s">
        <v>677</v>
      </c>
      <c r="D110" s="12" t="s">
        <v>967</v>
      </c>
      <c r="E110" s="12" t="s">
        <v>115</v>
      </c>
      <c r="F110" s="12" t="s">
        <v>968</v>
      </c>
      <c r="G110" s="12" t="s">
        <v>119</v>
      </c>
      <c r="H110" s="12" t="s">
        <v>969</v>
      </c>
      <c r="I110" s="12" t="s">
        <v>970</v>
      </c>
      <c r="J110" s="12" t="s">
        <v>971</v>
      </c>
      <c r="K110" s="12" t="s">
        <v>407</v>
      </c>
      <c r="L110" s="12" t="s">
        <v>976</v>
      </c>
      <c r="M110" s="12" t="s">
        <v>977</v>
      </c>
      <c r="N110" s="13" t="b">
        <v>0</v>
      </c>
      <c r="O110" s="13" t="b">
        <v>0</v>
      </c>
      <c r="P110" s="13" t="b">
        <v>0</v>
      </c>
      <c r="Q110" s="12" t="s">
        <v>341</v>
      </c>
      <c r="R110" s="12" t="s">
        <v>970</v>
      </c>
      <c r="S110" s="12" t="s">
        <v>974</v>
      </c>
      <c r="T110" s="14"/>
      <c r="U110" s="14"/>
      <c r="V110" s="12"/>
      <c r="W110" s="12"/>
      <c r="X110" s="12"/>
      <c r="Y110" s="12"/>
      <c r="Z110" s="12"/>
      <c r="AA110" s="12"/>
      <c r="AB110" s="12"/>
      <c r="AC110" s="12"/>
    </row>
    <row r="111" ht="37.5" customHeight="1">
      <c r="A111" s="17" t="s">
        <v>122</v>
      </c>
      <c r="B111" s="17" t="s">
        <v>978</v>
      </c>
      <c r="C111" s="17" t="s">
        <v>677</v>
      </c>
      <c r="D111" s="17" t="s">
        <v>967</v>
      </c>
      <c r="E111" s="17" t="s">
        <v>115</v>
      </c>
      <c r="F111" s="17" t="s">
        <v>968</v>
      </c>
      <c r="G111" s="17" t="s">
        <v>119</v>
      </c>
      <c r="H111" s="17" t="s">
        <v>969</v>
      </c>
      <c r="I111" s="17" t="s">
        <v>970</v>
      </c>
      <c r="J111" s="17" t="s">
        <v>971</v>
      </c>
      <c r="K111" s="17" t="s">
        <v>979</v>
      </c>
      <c r="L111" s="17" t="s">
        <v>980</v>
      </c>
      <c r="M111" s="17" t="s">
        <v>981</v>
      </c>
      <c r="N111" s="18" t="b">
        <v>0</v>
      </c>
      <c r="O111" s="18" t="b">
        <v>0</v>
      </c>
      <c r="P111" s="18" t="b">
        <v>0</v>
      </c>
      <c r="Q111" s="17" t="s">
        <v>775</v>
      </c>
      <c r="R111" s="17" t="s">
        <v>970</v>
      </c>
      <c r="S111" s="17" t="s">
        <v>974</v>
      </c>
      <c r="T111" s="19"/>
      <c r="U111" s="19"/>
      <c r="V111" s="17"/>
      <c r="W111" s="17"/>
      <c r="X111" s="17"/>
      <c r="Y111" s="17"/>
      <c r="Z111" s="17"/>
      <c r="AA111" s="17"/>
      <c r="AB111" s="17"/>
      <c r="AC111" s="17"/>
    </row>
    <row r="112" ht="37.5" customHeight="1">
      <c r="A112" s="12" t="s">
        <v>122</v>
      </c>
      <c r="B112" s="12" t="s">
        <v>982</v>
      </c>
      <c r="C112" s="12" t="s">
        <v>677</v>
      </c>
      <c r="D112" s="12" t="s">
        <v>468</v>
      </c>
      <c r="E112" s="12" t="s">
        <v>146</v>
      </c>
      <c r="F112" s="12" t="s">
        <v>692</v>
      </c>
      <c r="G112" s="12" t="s">
        <v>693</v>
      </c>
      <c r="H112" s="12" t="s">
        <v>694</v>
      </c>
      <c r="I112" s="12" t="s">
        <v>695</v>
      </c>
      <c r="J112" s="12" t="s">
        <v>696</v>
      </c>
      <c r="K112" s="12" t="s">
        <v>983</v>
      </c>
      <c r="L112" s="12" t="s">
        <v>984</v>
      </c>
      <c r="M112" s="54" t="s">
        <v>985</v>
      </c>
      <c r="N112" s="13" t="b">
        <v>1</v>
      </c>
      <c r="O112" s="13" t="b">
        <v>0</v>
      </c>
      <c r="P112" s="13" t="b">
        <v>0</v>
      </c>
      <c r="Q112" s="12" t="s">
        <v>319</v>
      </c>
      <c r="R112" s="53" t="s">
        <v>695</v>
      </c>
      <c r="S112" s="12" t="s">
        <v>473</v>
      </c>
      <c r="T112" s="14"/>
      <c r="U112" s="14"/>
      <c r="V112" s="12"/>
      <c r="W112" s="12"/>
      <c r="X112" s="12"/>
      <c r="Y112" s="12"/>
      <c r="Z112" s="12"/>
      <c r="AA112" s="12"/>
      <c r="AB112" s="12"/>
      <c r="AC112" s="12"/>
    </row>
    <row r="113" ht="37.5" customHeight="1">
      <c r="A113" s="63" t="s">
        <v>122</v>
      </c>
      <c r="B113" s="64" t="s">
        <v>986</v>
      </c>
      <c r="C113" s="63" t="s">
        <v>677</v>
      </c>
      <c r="D113" s="63" t="s">
        <v>468</v>
      </c>
      <c r="E113" s="63" t="s">
        <v>146</v>
      </c>
      <c r="F113" s="63" t="s">
        <v>692</v>
      </c>
      <c r="G113" s="63" t="s">
        <v>693</v>
      </c>
      <c r="H113" s="63" t="s">
        <v>694</v>
      </c>
      <c r="I113" s="63" t="s">
        <v>695</v>
      </c>
      <c r="J113" s="63" t="s">
        <v>696</v>
      </c>
      <c r="K113" s="63" t="s">
        <v>987</v>
      </c>
      <c r="L113" s="63" t="s">
        <v>866</v>
      </c>
      <c r="M113" s="64" t="s">
        <v>988</v>
      </c>
      <c r="N113" s="65" t="b">
        <v>0</v>
      </c>
      <c r="O113" s="65" t="b">
        <v>0</v>
      </c>
      <c r="P113" s="65" t="b">
        <v>0</v>
      </c>
      <c r="Q113" s="63" t="s">
        <v>775</v>
      </c>
      <c r="R113" s="66" t="s">
        <v>695</v>
      </c>
      <c r="S113" s="63" t="s">
        <v>473</v>
      </c>
      <c r="T113" s="67"/>
      <c r="U113" s="67"/>
      <c r="V113" s="63"/>
      <c r="W113" s="17"/>
      <c r="X113" s="17"/>
      <c r="Y113" s="17"/>
      <c r="Z113" s="17"/>
      <c r="AA113" s="17"/>
      <c r="AB113" s="17"/>
      <c r="AC113" s="17"/>
    </row>
    <row r="114" ht="37.5" customHeight="1">
      <c r="A114" s="12" t="s">
        <v>122</v>
      </c>
      <c r="B114" s="12" t="s">
        <v>989</v>
      </c>
      <c r="C114" s="12" t="s">
        <v>677</v>
      </c>
      <c r="D114" s="12" t="s">
        <v>990</v>
      </c>
      <c r="E114" s="12" t="s">
        <v>31</v>
      </c>
      <c r="F114" s="12" t="s">
        <v>991</v>
      </c>
      <c r="G114" s="12" t="s">
        <v>31</v>
      </c>
      <c r="H114" s="12" t="s">
        <v>992</v>
      </c>
      <c r="I114" s="12" t="s">
        <v>993</v>
      </c>
      <c r="J114" s="12" t="s">
        <v>994</v>
      </c>
      <c r="K114" s="12" t="s">
        <v>995</v>
      </c>
      <c r="L114" s="12" t="s">
        <v>996</v>
      </c>
      <c r="M114" s="12" t="s">
        <v>997</v>
      </c>
      <c r="N114" s="13" t="b">
        <v>0</v>
      </c>
      <c r="O114" s="13" t="b">
        <v>0</v>
      </c>
      <c r="P114" s="13" t="b">
        <v>0</v>
      </c>
      <c r="Q114" s="12" t="s">
        <v>319</v>
      </c>
      <c r="R114" s="12" t="s">
        <v>993</v>
      </c>
      <c r="S114" s="12" t="s">
        <v>998</v>
      </c>
      <c r="T114" s="14"/>
      <c r="U114" s="14"/>
      <c r="V114" s="12"/>
      <c r="W114" s="12"/>
      <c r="X114" s="12"/>
      <c r="Y114" s="12"/>
      <c r="Z114" s="12"/>
      <c r="AA114" s="12"/>
      <c r="AB114" s="12"/>
      <c r="AC114" s="12"/>
    </row>
    <row r="115" ht="37.5" customHeight="1">
      <c r="A115" s="63" t="s">
        <v>122</v>
      </c>
      <c r="B115" s="63" t="s">
        <v>999</v>
      </c>
      <c r="C115" s="63" t="s">
        <v>677</v>
      </c>
      <c r="D115" s="63" t="s">
        <v>990</v>
      </c>
      <c r="E115" s="63" t="s">
        <v>31</v>
      </c>
      <c r="F115" s="63" t="s">
        <v>991</v>
      </c>
      <c r="G115" s="63" t="s">
        <v>31</v>
      </c>
      <c r="H115" s="63" t="s">
        <v>992</v>
      </c>
      <c r="I115" s="63" t="s">
        <v>993</v>
      </c>
      <c r="J115" s="63" t="s">
        <v>994</v>
      </c>
      <c r="K115" s="63" t="s">
        <v>1000</v>
      </c>
      <c r="L115" s="63" t="s">
        <v>1001</v>
      </c>
      <c r="M115" s="64" t="s">
        <v>1002</v>
      </c>
      <c r="N115" s="65" t="b">
        <v>1</v>
      </c>
      <c r="O115" s="65" t="b">
        <v>0</v>
      </c>
      <c r="P115" s="65" t="b">
        <v>0</v>
      </c>
      <c r="Q115" s="63" t="s">
        <v>319</v>
      </c>
      <c r="R115" s="63" t="s">
        <v>993</v>
      </c>
      <c r="S115" s="63" t="s">
        <v>998</v>
      </c>
      <c r="T115" s="67"/>
      <c r="U115" s="67"/>
      <c r="V115" s="63"/>
      <c r="W115" s="63"/>
      <c r="X115" s="63"/>
      <c r="Y115" s="63"/>
      <c r="Z115" s="63"/>
      <c r="AA115" s="63"/>
      <c r="AB115" s="63"/>
      <c r="AC115" s="63"/>
    </row>
    <row r="116" ht="37.5" customHeight="1">
      <c r="A116" s="12" t="s">
        <v>122</v>
      </c>
      <c r="B116" s="12" t="s">
        <v>1003</v>
      </c>
      <c r="C116" s="12" t="s">
        <v>677</v>
      </c>
      <c r="D116" s="12" t="s">
        <v>990</v>
      </c>
      <c r="E116" s="12" t="s">
        <v>31</v>
      </c>
      <c r="F116" s="12" t="s">
        <v>991</v>
      </c>
      <c r="G116" s="12" t="s">
        <v>31</v>
      </c>
      <c r="H116" s="12" t="s">
        <v>992</v>
      </c>
      <c r="I116" s="12" t="s">
        <v>993</v>
      </c>
      <c r="J116" s="12" t="s">
        <v>994</v>
      </c>
      <c r="K116" s="12" t="s">
        <v>1004</v>
      </c>
      <c r="L116" s="12" t="s">
        <v>1005</v>
      </c>
      <c r="M116" s="12" t="s">
        <v>1006</v>
      </c>
      <c r="N116" s="13" t="b">
        <v>1</v>
      </c>
      <c r="O116" s="13" t="b">
        <v>0</v>
      </c>
      <c r="P116" s="13" t="b">
        <v>0</v>
      </c>
      <c r="Q116" s="12" t="s">
        <v>775</v>
      </c>
      <c r="R116" s="12" t="s">
        <v>993</v>
      </c>
      <c r="S116" s="12" t="s">
        <v>998</v>
      </c>
      <c r="T116" s="14"/>
      <c r="U116" s="14"/>
      <c r="V116" s="12"/>
      <c r="W116" s="12"/>
      <c r="X116" s="12"/>
      <c r="Y116" s="12"/>
      <c r="Z116" s="12"/>
      <c r="AA116" s="12"/>
      <c r="AB116" s="12"/>
      <c r="AC116" s="12"/>
    </row>
    <row r="117" ht="37.5" customHeight="1">
      <c r="A117" s="17" t="s">
        <v>122</v>
      </c>
      <c r="B117" s="17" t="s">
        <v>1007</v>
      </c>
      <c r="C117" s="17" t="s">
        <v>677</v>
      </c>
      <c r="D117" s="17" t="s">
        <v>313</v>
      </c>
      <c r="E117" s="17" t="s">
        <v>166</v>
      </c>
      <c r="F117" s="17" t="s">
        <v>697</v>
      </c>
      <c r="G117" s="17" t="s">
        <v>698</v>
      </c>
      <c r="H117" s="17" t="s">
        <v>699</v>
      </c>
      <c r="I117" s="17" t="s">
        <v>700</v>
      </c>
      <c r="J117" s="17" t="s">
        <v>701</v>
      </c>
      <c r="K117" s="17" t="s">
        <v>1008</v>
      </c>
      <c r="L117" s="17" t="s">
        <v>910</v>
      </c>
      <c r="M117" s="43" t="s">
        <v>1009</v>
      </c>
      <c r="N117" s="18" t="b">
        <v>1</v>
      </c>
      <c r="O117" s="18" t="b">
        <v>0</v>
      </c>
      <c r="P117" s="18" t="b">
        <v>0</v>
      </c>
      <c r="Q117" s="17" t="s">
        <v>341</v>
      </c>
      <c r="R117" s="17" t="s">
        <v>700</v>
      </c>
      <c r="S117" s="17" t="s">
        <v>318</v>
      </c>
      <c r="T117" s="19"/>
      <c r="U117" s="19"/>
      <c r="V117" s="17"/>
      <c r="W117" s="17"/>
      <c r="X117" s="17"/>
      <c r="Y117" s="17"/>
      <c r="Z117" s="17"/>
      <c r="AA117" s="17"/>
      <c r="AB117" s="17"/>
      <c r="AC117" s="17"/>
    </row>
    <row r="118" ht="37.5" customHeight="1">
      <c r="A118" s="12" t="s">
        <v>122</v>
      </c>
      <c r="B118" s="12" t="s">
        <v>1010</v>
      </c>
      <c r="C118" s="12" t="s">
        <v>677</v>
      </c>
      <c r="D118" s="12" t="s">
        <v>313</v>
      </c>
      <c r="E118" s="12" t="s">
        <v>166</v>
      </c>
      <c r="F118" s="12" t="s">
        <v>697</v>
      </c>
      <c r="G118" s="12" t="s">
        <v>698</v>
      </c>
      <c r="H118" s="12" t="s">
        <v>699</v>
      </c>
      <c r="I118" s="12" t="s">
        <v>700</v>
      </c>
      <c r="J118" s="12" t="s">
        <v>701</v>
      </c>
      <c r="K118" s="12" t="s">
        <v>1011</v>
      </c>
      <c r="L118" s="12" t="s">
        <v>1012</v>
      </c>
      <c r="M118" s="54" t="s">
        <v>1013</v>
      </c>
      <c r="N118" s="13" t="b">
        <v>1</v>
      </c>
      <c r="O118" s="13" t="b">
        <v>0</v>
      </c>
      <c r="P118" s="13" t="b">
        <v>0</v>
      </c>
      <c r="Q118" s="12" t="s">
        <v>775</v>
      </c>
      <c r="R118" s="12" t="s">
        <v>700</v>
      </c>
      <c r="S118" s="12" t="s">
        <v>318</v>
      </c>
      <c r="T118" s="14"/>
      <c r="U118" s="14"/>
      <c r="V118" s="12"/>
      <c r="W118" s="12"/>
      <c r="X118" s="12"/>
      <c r="Y118" s="12"/>
      <c r="Z118" s="12"/>
      <c r="AA118" s="12"/>
      <c r="AB118" s="12"/>
      <c r="AC118" s="12"/>
    </row>
    <row r="119" ht="37.5" customHeight="1">
      <c r="A119" s="17" t="s">
        <v>122</v>
      </c>
      <c r="B119" s="17" t="s">
        <v>1014</v>
      </c>
      <c r="C119" s="17" t="s">
        <v>677</v>
      </c>
      <c r="D119" s="17" t="s">
        <v>1015</v>
      </c>
      <c r="E119" s="17" t="s">
        <v>138</v>
      </c>
      <c r="F119" s="17" t="s">
        <v>1016</v>
      </c>
      <c r="G119" s="17" t="s">
        <v>1017</v>
      </c>
      <c r="H119" s="17" t="s">
        <v>1018</v>
      </c>
      <c r="I119" s="17" t="s">
        <v>1019</v>
      </c>
      <c r="J119" s="17" t="s">
        <v>1020</v>
      </c>
      <c r="K119" s="17" t="s">
        <v>1021</v>
      </c>
      <c r="L119" s="17" t="s">
        <v>1022</v>
      </c>
      <c r="M119" s="43" t="s">
        <v>1023</v>
      </c>
      <c r="N119" s="18" t="b">
        <v>1</v>
      </c>
      <c r="O119" s="18" t="b">
        <v>0</v>
      </c>
      <c r="P119" s="18" t="b">
        <v>1</v>
      </c>
      <c r="Q119" s="17" t="s">
        <v>319</v>
      </c>
      <c r="R119" s="17" t="s">
        <v>1019</v>
      </c>
      <c r="S119" s="17" t="s">
        <v>1024</v>
      </c>
      <c r="T119" s="19"/>
      <c r="U119" s="19"/>
      <c r="V119" s="17"/>
      <c r="W119" s="17"/>
      <c r="X119" s="17"/>
      <c r="Y119" s="17"/>
      <c r="Z119" s="17"/>
      <c r="AA119" s="17"/>
      <c r="AB119" s="17"/>
      <c r="AC119" s="17"/>
    </row>
    <row r="120" ht="37.5" customHeight="1">
      <c r="A120" s="12" t="s">
        <v>122</v>
      </c>
      <c r="B120" s="16" t="s">
        <v>1025</v>
      </c>
      <c r="C120" s="12" t="s">
        <v>677</v>
      </c>
      <c r="D120" s="12" t="s">
        <v>1015</v>
      </c>
      <c r="E120" s="12" t="s">
        <v>138</v>
      </c>
      <c r="F120" s="12" t="s">
        <v>1016</v>
      </c>
      <c r="G120" s="12" t="s">
        <v>1017</v>
      </c>
      <c r="H120" s="12" t="s">
        <v>1018</v>
      </c>
      <c r="I120" s="12" t="s">
        <v>1019</v>
      </c>
      <c r="J120" s="12" t="s">
        <v>1020</v>
      </c>
      <c r="K120" s="12" t="s">
        <v>1026</v>
      </c>
      <c r="L120" s="12" t="s">
        <v>1027</v>
      </c>
      <c r="M120" s="54" t="s">
        <v>1028</v>
      </c>
      <c r="N120" s="13" t="b">
        <v>1</v>
      </c>
      <c r="O120" s="13" t="b">
        <v>0</v>
      </c>
      <c r="P120" s="13" t="b">
        <v>0</v>
      </c>
      <c r="Q120" s="12" t="s">
        <v>319</v>
      </c>
      <c r="R120" s="12" t="s">
        <v>1019</v>
      </c>
      <c r="S120" s="12" t="s">
        <v>1024</v>
      </c>
      <c r="T120" s="14"/>
      <c r="U120" s="14"/>
      <c r="V120" s="12"/>
      <c r="W120" s="12"/>
      <c r="X120" s="12"/>
      <c r="Y120" s="12"/>
      <c r="Z120" s="12"/>
      <c r="AA120" s="12"/>
      <c r="AB120" s="12"/>
      <c r="AC120" s="12"/>
    </row>
    <row r="121" ht="37.5" customHeight="1">
      <c r="A121" s="17" t="s">
        <v>122</v>
      </c>
      <c r="B121" s="17" t="s">
        <v>1029</v>
      </c>
      <c r="C121" s="17" t="s">
        <v>677</v>
      </c>
      <c r="D121" s="17" t="s">
        <v>1030</v>
      </c>
      <c r="E121" s="17" t="s">
        <v>115</v>
      </c>
      <c r="F121" s="17" t="s">
        <v>1031</v>
      </c>
      <c r="G121" s="17" t="s">
        <v>1032</v>
      </c>
      <c r="H121" s="17" t="s">
        <v>1033</v>
      </c>
      <c r="I121" s="17" t="s">
        <v>1034</v>
      </c>
      <c r="J121" s="17" t="s">
        <v>539</v>
      </c>
      <c r="K121" s="17" t="s">
        <v>888</v>
      </c>
      <c r="L121" s="17" t="s">
        <v>1035</v>
      </c>
      <c r="M121" s="43" t="s">
        <v>1036</v>
      </c>
      <c r="N121" s="18" t="b">
        <v>1</v>
      </c>
      <c r="O121" s="18" t="b">
        <v>0</v>
      </c>
      <c r="P121" s="18" t="b">
        <v>0</v>
      </c>
      <c r="Q121" s="17" t="s">
        <v>319</v>
      </c>
      <c r="R121" s="17" t="s">
        <v>1034</v>
      </c>
      <c r="S121" s="17" t="s">
        <v>1037</v>
      </c>
      <c r="T121" s="19"/>
      <c r="U121" s="19"/>
      <c r="V121" s="17"/>
      <c r="W121" s="17"/>
      <c r="X121" s="17"/>
      <c r="Y121" s="17"/>
      <c r="Z121" s="17"/>
      <c r="AA121" s="17"/>
      <c r="AB121" s="17"/>
      <c r="AC121" s="17"/>
    </row>
    <row r="122" ht="37.5" customHeight="1">
      <c r="A122" s="12" t="s">
        <v>122</v>
      </c>
      <c r="B122" s="16" t="s">
        <v>1038</v>
      </c>
      <c r="C122" s="12" t="s">
        <v>677</v>
      </c>
      <c r="D122" s="12" t="s">
        <v>1030</v>
      </c>
      <c r="E122" s="12" t="s">
        <v>115</v>
      </c>
      <c r="F122" s="12" t="s">
        <v>1031</v>
      </c>
      <c r="G122" s="12" t="s">
        <v>1032</v>
      </c>
      <c r="H122" s="12" t="s">
        <v>1033</v>
      </c>
      <c r="I122" s="12" t="s">
        <v>1034</v>
      </c>
      <c r="J122" s="12" t="s">
        <v>539</v>
      </c>
      <c r="K122" s="12" t="s">
        <v>888</v>
      </c>
      <c r="L122" s="12" t="s">
        <v>1039</v>
      </c>
      <c r="M122" s="12" t="s">
        <v>1040</v>
      </c>
      <c r="N122" s="13" t="b">
        <v>1</v>
      </c>
      <c r="O122" s="13" t="b">
        <v>0</v>
      </c>
      <c r="P122" s="13" t="b">
        <v>0</v>
      </c>
      <c r="Q122" s="12" t="s">
        <v>319</v>
      </c>
      <c r="R122" s="12" t="s">
        <v>1034</v>
      </c>
      <c r="S122" s="12" t="s">
        <v>1037</v>
      </c>
      <c r="T122" s="14"/>
      <c r="U122" s="14"/>
      <c r="V122" s="12"/>
      <c r="W122" s="12"/>
      <c r="X122" s="12"/>
      <c r="Y122" s="12"/>
      <c r="Z122" s="12"/>
      <c r="AA122" s="12"/>
      <c r="AB122" s="12"/>
      <c r="AC122" s="12"/>
    </row>
    <row r="123" ht="37.5" customHeight="1">
      <c r="A123" s="17" t="s">
        <v>122</v>
      </c>
      <c r="B123" s="33" t="s">
        <v>1041</v>
      </c>
      <c r="C123" s="17" t="s">
        <v>677</v>
      </c>
      <c r="D123" s="17" t="s">
        <v>1030</v>
      </c>
      <c r="E123" s="17" t="s">
        <v>115</v>
      </c>
      <c r="F123" s="17" t="s">
        <v>1031</v>
      </c>
      <c r="G123" s="17" t="s">
        <v>1032</v>
      </c>
      <c r="H123" s="17" t="s">
        <v>1033</v>
      </c>
      <c r="I123" s="17" t="s">
        <v>1034</v>
      </c>
      <c r="J123" s="17" t="s">
        <v>539</v>
      </c>
      <c r="K123" s="17" t="s">
        <v>380</v>
      </c>
      <c r="L123" s="17" t="s">
        <v>1042</v>
      </c>
      <c r="M123" s="17" t="s">
        <v>1043</v>
      </c>
      <c r="N123" s="18" t="b">
        <v>1</v>
      </c>
      <c r="O123" s="18" t="b">
        <v>0</v>
      </c>
      <c r="P123" s="18" t="b">
        <v>0</v>
      </c>
      <c r="Q123" s="17" t="s">
        <v>319</v>
      </c>
      <c r="R123" s="17" t="s">
        <v>1034</v>
      </c>
      <c r="S123" s="17" t="s">
        <v>1037</v>
      </c>
      <c r="T123" s="19"/>
      <c r="U123" s="19"/>
      <c r="V123" s="17"/>
      <c r="W123" s="17"/>
      <c r="X123" s="17"/>
      <c r="Y123" s="17"/>
      <c r="Z123" s="17"/>
      <c r="AA123" s="17"/>
      <c r="AB123" s="17"/>
      <c r="AC123" s="17"/>
    </row>
    <row r="124" ht="37.5" customHeight="1">
      <c r="A124" s="12" t="s">
        <v>122</v>
      </c>
      <c r="B124" s="12" t="s">
        <v>1044</v>
      </c>
      <c r="C124" s="12" t="s">
        <v>677</v>
      </c>
      <c r="D124" s="12" t="s">
        <v>480</v>
      </c>
      <c r="E124" s="12" t="s">
        <v>115</v>
      </c>
      <c r="F124" s="12" t="s">
        <v>702</v>
      </c>
      <c r="G124" s="12" t="s">
        <v>622</v>
      </c>
      <c r="H124" s="12" t="s">
        <v>703</v>
      </c>
      <c r="I124" s="12" t="s">
        <v>704</v>
      </c>
      <c r="J124" s="12" t="s">
        <v>539</v>
      </c>
      <c r="K124" s="12" t="s">
        <v>444</v>
      </c>
      <c r="L124" s="12" t="s">
        <v>1045</v>
      </c>
      <c r="M124" s="54" t="s">
        <v>1046</v>
      </c>
      <c r="N124" s="13" t="b">
        <v>1</v>
      </c>
      <c r="O124" s="13" t="b">
        <v>0</v>
      </c>
      <c r="P124" s="13" t="b">
        <v>0</v>
      </c>
      <c r="Q124" s="12" t="s">
        <v>319</v>
      </c>
      <c r="R124" s="12" t="s">
        <v>704</v>
      </c>
      <c r="S124" s="12" t="s">
        <v>484</v>
      </c>
      <c r="T124" s="14"/>
      <c r="U124" s="14"/>
      <c r="V124" s="12"/>
      <c r="W124" s="12"/>
      <c r="X124" s="12"/>
      <c r="Y124" s="12"/>
      <c r="Z124" s="12"/>
      <c r="AA124" s="12"/>
      <c r="AB124" s="12"/>
      <c r="AC124" s="12"/>
    </row>
    <row r="125" ht="37.5" customHeight="1">
      <c r="A125" s="17" t="s">
        <v>122</v>
      </c>
      <c r="B125" s="33" t="s">
        <v>1047</v>
      </c>
      <c r="C125" s="17" t="s">
        <v>677</v>
      </c>
      <c r="D125" s="17" t="s">
        <v>480</v>
      </c>
      <c r="E125" s="17" t="s">
        <v>115</v>
      </c>
      <c r="F125" s="17" t="s">
        <v>702</v>
      </c>
      <c r="G125" s="17" t="s">
        <v>622</v>
      </c>
      <c r="H125" s="17" t="s">
        <v>703</v>
      </c>
      <c r="I125" s="17" t="s">
        <v>704</v>
      </c>
      <c r="J125" s="17" t="s">
        <v>539</v>
      </c>
      <c r="K125" s="17" t="s">
        <v>380</v>
      </c>
      <c r="L125" s="17" t="s">
        <v>1048</v>
      </c>
      <c r="M125" s="43" t="s">
        <v>1049</v>
      </c>
      <c r="N125" s="18" t="b">
        <v>1</v>
      </c>
      <c r="O125" s="18" t="b">
        <v>0</v>
      </c>
      <c r="P125" s="18" t="b">
        <v>0</v>
      </c>
      <c r="Q125" s="17" t="s">
        <v>319</v>
      </c>
      <c r="R125" s="17" t="s">
        <v>704</v>
      </c>
      <c r="S125" s="17" t="s">
        <v>484</v>
      </c>
      <c r="T125" s="19"/>
      <c r="U125" s="19"/>
      <c r="V125" s="17"/>
      <c r="W125" s="17"/>
      <c r="X125" s="17"/>
      <c r="Y125" s="17"/>
      <c r="Z125" s="17"/>
      <c r="AA125" s="17"/>
      <c r="AB125" s="17"/>
      <c r="AC125" s="17"/>
    </row>
    <row r="126" ht="37.5" customHeight="1">
      <c r="A126" s="12" t="s">
        <v>122</v>
      </c>
      <c r="B126" s="12" t="s">
        <v>1050</v>
      </c>
      <c r="C126" s="12" t="s">
        <v>705</v>
      </c>
      <c r="D126" s="12" t="s">
        <v>1051</v>
      </c>
      <c r="E126" s="12" t="s">
        <v>115</v>
      </c>
      <c r="F126" s="12" t="s">
        <v>1052</v>
      </c>
      <c r="G126" s="12" t="s">
        <v>119</v>
      </c>
      <c r="H126" s="12" t="s">
        <v>1053</v>
      </c>
      <c r="I126" s="12" t="s">
        <v>1054</v>
      </c>
      <c r="J126" s="12" t="s">
        <v>539</v>
      </c>
      <c r="K126" s="12" t="s">
        <v>400</v>
      </c>
      <c r="L126" s="12" t="s">
        <v>1055</v>
      </c>
      <c r="M126" s="54" t="s">
        <v>1056</v>
      </c>
      <c r="N126" s="13" t="b">
        <v>1</v>
      </c>
      <c r="O126" s="13" t="b">
        <v>0</v>
      </c>
      <c r="P126" s="13" t="b">
        <v>0</v>
      </c>
      <c r="Q126" s="12" t="s">
        <v>319</v>
      </c>
      <c r="R126" s="12" t="s">
        <v>1054</v>
      </c>
      <c r="S126" s="12" t="s">
        <v>1057</v>
      </c>
      <c r="T126" s="14"/>
      <c r="U126" s="14"/>
      <c r="V126" s="12"/>
      <c r="W126" s="12"/>
      <c r="X126" s="12"/>
      <c r="Y126" s="12"/>
      <c r="Z126" s="12"/>
      <c r="AA126" s="12"/>
      <c r="AB126" s="12"/>
      <c r="AC126" s="12"/>
    </row>
    <row r="127" ht="37.5" customHeight="1">
      <c r="A127" s="17" t="s">
        <v>122</v>
      </c>
      <c r="B127" s="17" t="s">
        <v>1058</v>
      </c>
      <c r="C127" s="17" t="s">
        <v>705</v>
      </c>
      <c r="D127" s="17" t="s">
        <v>1051</v>
      </c>
      <c r="E127" s="17" t="s">
        <v>115</v>
      </c>
      <c r="F127" s="17" t="s">
        <v>1052</v>
      </c>
      <c r="G127" s="17" t="s">
        <v>119</v>
      </c>
      <c r="H127" s="17" t="s">
        <v>1053</v>
      </c>
      <c r="I127" s="17" t="s">
        <v>1054</v>
      </c>
      <c r="J127" s="17" t="s">
        <v>539</v>
      </c>
      <c r="K127" s="17" t="s">
        <v>544</v>
      </c>
      <c r="L127" s="17" t="s">
        <v>1059</v>
      </c>
      <c r="M127" s="43" t="s">
        <v>1060</v>
      </c>
      <c r="N127" s="18" t="b">
        <v>1</v>
      </c>
      <c r="O127" s="18" t="b">
        <v>0</v>
      </c>
      <c r="P127" s="18" t="b">
        <v>0</v>
      </c>
      <c r="Q127" s="17" t="s">
        <v>319</v>
      </c>
      <c r="R127" s="17" t="s">
        <v>1054</v>
      </c>
      <c r="S127" s="17" t="s">
        <v>1057</v>
      </c>
      <c r="T127" s="19"/>
      <c r="U127" s="19"/>
      <c r="V127" s="17"/>
      <c r="W127" s="17"/>
      <c r="X127" s="17"/>
      <c r="Y127" s="17"/>
      <c r="Z127" s="17"/>
      <c r="AA127" s="17"/>
      <c r="AB127" s="17"/>
      <c r="AC127" s="17"/>
    </row>
    <row r="128" ht="37.5" customHeight="1">
      <c r="A128" s="12" t="s">
        <v>122</v>
      </c>
      <c r="B128" s="12" t="s">
        <v>1061</v>
      </c>
      <c r="C128" s="12" t="s">
        <v>705</v>
      </c>
      <c r="D128" s="12" t="s">
        <v>334</v>
      </c>
      <c r="E128" s="12" t="s">
        <v>115</v>
      </c>
      <c r="F128" s="12" t="s">
        <v>1062</v>
      </c>
      <c r="G128" s="12" t="s">
        <v>622</v>
      </c>
      <c r="H128" s="12" t="s">
        <v>1063</v>
      </c>
      <c r="I128" s="12" t="s">
        <v>1064</v>
      </c>
      <c r="J128" s="12" t="s">
        <v>539</v>
      </c>
      <c r="K128" s="12" t="s">
        <v>1065</v>
      </c>
      <c r="L128" s="12" t="s">
        <v>1066</v>
      </c>
      <c r="M128" s="54" t="s">
        <v>1067</v>
      </c>
      <c r="N128" s="13" t="b">
        <v>1</v>
      </c>
      <c r="O128" s="13" t="b">
        <v>0</v>
      </c>
      <c r="P128" s="13" t="b">
        <v>0</v>
      </c>
      <c r="Q128" s="12" t="s">
        <v>319</v>
      </c>
      <c r="R128" s="12" t="s">
        <v>1064</v>
      </c>
      <c r="S128" s="12" t="s">
        <v>1068</v>
      </c>
      <c r="T128" s="14"/>
      <c r="U128" s="14"/>
      <c r="V128" s="12"/>
      <c r="W128" s="12"/>
      <c r="X128" s="12"/>
      <c r="Y128" s="12"/>
      <c r="Z128" s="12"/>
      <c r="AA128" s="12"/>
      <c r="AB128" s="12"/>
      <c r="AC128" s="12"/>
    </row>
    <row r="129" ht="37.5" customHeight="1">
      <c r="A129" s="17" t="s">
        <v>122</v>
      </c>
      <c r="B129" s="17" t="s">
        <v>1069</v>
      </c>
      <c r="C129" s="17" t="s">
        <v>705</v>
      </c>
      <c r="D129" s="17" t="s">
        <v>334</v>
      </c>
      <c r="E129" s="17" t="s">
        <v>115</v>
      </c>
      <c r="F129" s="17" t="s">
        <v>1062</v>
      </c>
      <c r="G129" s="17" t="s">
        <v>622</v>
      </c>
      <c r="H129" s="17" t="s">
        <v>1063</v>
      </c>
      <c r="I129" s="17" t="s">
        <v>1064</v>
      </c>
      <c r="J129" s="17" t="s">
        <v>539</v>
      </c>
      <c r="K129" s="17" t="s">
        <v>888</v>
      </c>
      <c r="L129" s="17" t="s">
        <v>1070</v>
      </c>
      <c r="M129" s="43" t="s">
        <v>1071</v>
      </c>
      <c r="N129" s="18" t="b">
        <v>1</v>
      </c>
      <c r="O129" s="18" t="b">
        <v>0</v>
      </c>
      <c r="P129" s="18" t="b">
        <v>0</v>
      </c>
      <c r="Q129" s="17" t="s">
        <v>319</v>
      </c>
      <c r="R129" s="17" t="s">
        <v>1064</v>
      </c>
      <c r="S129" s="17" t="s">
        <v>1068</v>
      </c>
      <c r="T129" s="19"/>
      <c r="U129" s="19"/>
      <c r="V129" s="17"/>
      <c r="W129" s="17"/>
      <c r="X129" s="17"/>
      <c r="Y129" s="17"/>
      <c r="Z129" s="17"/>
      <c r="AA129" s="17"/>
      <c r="AB129" s="17"/>
      <c r="AC129" s="17"/>
    </row>
    <row r="130" ht="37.5" customHeight="1">
      <c r="A130" s="12" t="s">
        <v>122</v>
      </c>
      <c r="B130" s="12" t="s">
        <v>1072</v>
      </c>
      <c r="C130" s="12" t="s">
        <v>705</v>
      </c>
      <c r="D130" s="12" t="s">
        <v>334</v>
      </c>
      <c r="E130" s="12" t="s">
        <v>115</v>
      </c>
      <c r="F130" s="12" t="s">
        <v>1062</v>
      </c>
      <c r="G130" s="12" t="s">
        <v>622</v>
      </c>
      <c r="H130" s="12" t="s">
        <v>1063</v>
      </c>
      <c r="I130" s="12" t="s">
        <v>1064</v>
      </c>
      <c r="J130" s="12" t="s">
        <v>539</v>
      </c>
      <c r="K130" s="12" t="s">
        <v>380</v>
      </c>
      <c r="L130" s="12" t="s">
        <v>910</v>
      </c>
      <c r="M130" s="54" t="s">
        <v>1073</v>
      </c>
      <c r="N130" s="13" t="b">
        <v>1</v>
      </c>
      <c r="O130" s="13" t="b">
        <v>0</v>
      </c>
      <c r="P130" s="13" t="b">
        <v>0</v>
      </c>
      <c r="Q130" s="12" t="s">
        <v>319</v>
      </c>
      <c r="R130" s="12" t="s">
        <v>1064</v>
      </c>
      <c r="S130" s="12" t="s">
        <v>1068</v>
      </c>
      <c r="T130" s="14"/>
      <c r="U130" s="14"/>
      <c r="V130" s="12"/>
      <c r="W130" s="12"/>
      <c r="X130" s="12"/>
      <c r="Y130" s="12"/>
      <c r="Z130" s="12"/>
      <c r="AA130" s="12"/>
      <c r="AB130" s="12"/>
      <c r="AC130" s="12"/>
    </row>
    <row r="131" ht="37.5" customHeight="1">
      <c r="A131" s="17" t="s">
        <v>122</v>
      </c>
      <c r="B131" s="17" t="s">
        <v>1074</v>
      </c>
      <c r="C131" s="17" t="s">
        <v>705</v>
      </c>
      <c r="D131" s="17" t="s">
        <v>1075</v>
      </c>
      <c r="E131" s="17" t="s">
        <v>241</v>
      </c>
      <c r="F131" s="17" t="s">
        <v>1076</v>
      </c>
      <c r="G131" s="17" t="s">
        <v>119</v>
      </c>
      <c r="H131" s="17" t="s">
        <v>1077</v>
      </c>
      <c r="I131" s="17" t="s">
        <v>1078</v>
      </c>
      <c r="J131" s="17" t="s">
        <v>1079</v>
      </c>
      <c r="K131" s="17" t="s">
        <v>1080</v>
      </c>
      <c r="L131" s="17" t="s">
        <v>1081</v>
      </c>
      <c r="M131" s="43" t="s">
        <v>1082</v>
      </c>
      <c r="N131" s="18" t="b">
        <v>1</v>
      </c>
      <c r="O131" s="18" t="b">
        <v>0</v>
      </c>
      <c r="P131" s="18" t="b">
        <v>0</v>
      </c>
      <c r="Q131" s="17" t="s">
        <v>319</v>
      </c>
      <c r="R131" s="17" t="s">
        <v>1078</v>
      </c>
      <c r="S131" s="17" t="s">
        <v>1083</v>
      </c>
      <c r="T131" s="19"/>
      <c r="U131" s="19"/>
      <c r="V131" s="17"/>
      <c r="W131" s="17"/>
      <c r="X131" s="17"/>
      <c r="Y131" s="17"/>
      <c r="Z131" s="17"/>
      <c r="AA131" s="17"/>
      <c r="AB131" s="17"/>
      <c r="AC131" s="17"/>
    </row>
    <row r="132" ht="37.5" customHeight="1">
      <c r="A132" s="12" t="s">
        <v>122</v>
      </c>
      <c r="B132" s="12" t="s">
        <v>1084</v>
      </c>
      <c r="C132" s="12" t="s">
        <v>705</v>
      </c>
      <c r="D132" s="12" t="s">
        <v>1075</v>
      </c>
      <c r="E132" s="12" t="s">
        <v>241</v>
      </c>
      <c r="F132" s="12" t="s">
        <v>1076</v>
      </c>
      <c r="G132" s="12" t="s">
        <v>119</v>
      </c>
      <c r="H132" s="12" t="s">
        <v>1077</v>
      </c>
      <c r="I132" s="12" t="s">
        <v>1078</v>
      </c>
      <c r="J132" s="12" t="s">
        <v>1079</v>
      </c>
      <c r="K132" s="12" t="s">
        <v>1085</v>
      </c>
      <c r="L132" s="12" t="s">
        <v>1086</v>
      </c>
      <c r="M132" s="54" t="s">
        <v>1087</v>
      </c>
      <c r="N132" s="13" t="b">
        <v>1</v>
      </c>
      <c r="O132" s="13" t="b">
        <v>0</v>
      </c>
      <c r="P132" s="13" t="b">
        <v>0</v>
      </c>
      <c r="Q132" s="12" t="s">
        <v>775</v>
      </c>
      <c r="R132" s="12" t="s">
        <v>1078</v>
      </c>
      <c r="S132" s="12" t="s">
        <v>1083</v>
      </c>
      <c r="T132" s="14"/>
      <c r="U132" s="14"/>
      <c r="V132" s="12"/>
      <c r="W132" s="12"/>
      <c r="X132" s="12"/>
      <c r="Y132" s="12"/>
      <c r="Z132" s="12"/>
      <c r="AA132" s="12"/>
      <c r="AB132" s="12"/>
      <c r="AC132" s="12"/>
    </row>
    <row r="133" ht="37.5" customHeight="1">
      <c r="A133" s="17" t="s">
        <v>122</v>
      </c>
      <c r="B133" s="17" t="s">
        <v>1088</v>
      </c>
      <c r="C133" s="17" t="s">
        <v>705</v>
      </c>
      <c r="D133" s="17" t="s">
        <v>485</v>
      </c>
      <c r="E133" s="17" t="s">
        <v>83</v>
      </c>
      <c r="F133" s="17" t="s">
        <v>706</v>
      </c>
      <c r="G133" s="17" t="s">
        <v>707</v>
      </c>
      <c r="H133" s="17" t="s">
        <v>708</v>
      </c>
      <c r="I133" s="17" t="s">
        <v>709</v>
      </c>
      <c r="J133" s="17" t="s">
        <v>710</v>
      </c>
      <c r="K133" s="17" t="s">
        <v>580</v>
      </c>
      <c r="L133" s="17" t="s">
        <v>1089</v>
      </c>
      <c r="M133" s="43" t="s">
        <v>1090</v>
      </c>
      <c r="N133" s="18" t="b">
        <v>1</v>
      </c>
      <c r="O133" s="18" t="b">
        <v>0</v>
      </c>
      <c r="P133" s="18" t="b">
        <v>0</v>
      </c>
      <c r="Q133" s="17" t="s">
        <v>341</v>
      </c>
      <c r="R133" s="17" t="s">
        <v>709</v>
      </c>
      <c r="S133" s="17" t="s">
        <v>491</v>
      </c>
      <c r="T133" s="19"/>
      <c r="U133" s="19"/>
      <c r="V133" s="17"/>
      <c r="W133" s="17"/>
      <c r="X133" s="17"/>
      <c r="Y133" s="17"/>
      <c r="Z133" s="17"/>
      <c r="AA133" s="17"/>
      <c r="AB133" s="17"/>
      <c r="AC133" s="17"/>
    </row>
    <row r="134" ht="37.5" customHeight="1">
      <c r="A134" s="12" t="s">
        <v>122</v>
      </c>
      <c r="B134" s="12" t="s">
        <v>1091</v>
      </c>
      <c r="C134" s="12" t="s">
        <v>705</v>
      </c>
      <c r="D134" s="12" t="s">
        <v>1092</v>
      </c>
      <c r="E134" s="12" t="s">
        <v>112</v>
      </c>
      <c r="F134" s="12" t="s">
        <v>1093</v>
      </c>
      <c r="G134" s="12" t="s">
        <v>1094</v>
      </c>
      <c r="H134" s="12" t="s">
        <v>1095</v>
      </c>
      <c r="I134" s="12" t="s">
        <v>1096</v>
      </c>
      <c r="J134" s="12" t="s">
        <v>1097</v>
      </c>
      <c r="K134" s="12" t="s">
        <v>351</v>
      </c>
      <c r="L134" s="12" t="s">
        <v>1098</v>
      </c>
      <c r="M134" s="54" t="s">
        <v>1099</v>
      </c>
      <c r="N134" s="13" t="b">
        <v>1</v>
      </c>
      <c r="O134" s="13" t="b">
        <v>0</v>
      </c>
      <c r="P134" s="13" t="b">
        <v>0</v>
      </c>
      <c r="Q134" s="12" t="s">
        <v>319</v>
      </c>
      <c r="R134" s="12" t="s">
        <v>1096</v>
      </c>
      <c r="S134" s="12" t="s">
        <v>1100</v>
      </c>
      <c r="T134" s="14"/>
      <c r="U134" s="14"/>
      <c r="V134" s="12"/>
      <c r="W134" s="12"/>
      <c r="X134" s="12"/>
      <c r="Y134" s="12"/>
      <c r="Z134" s="12"/>
      <c r="AA134" s="12"/>
      <c r="AB134" s="12"/>
      <c r="AC134" s="12"/>
    </row>
    <row r="135" ht="37.5" customHeight="1">
      <c r="A135" s="17" t="s">
        <v>122</v>
      </c>
      <c r="B135" s="17" t="s">
        <v>1101</v>
      </c>
      <c r="C135" s="17" t="s">
        <v>705</v>
      </c>
      <c r="D135" s="17" t="s">
        <v>1092</v>
      </c>
      <c r="E135" s="17" t="s">
        <v>112</v>
      </c>
      <c r="F135" s="17" t="s">
        <v>1093</v>
      </c>
      <c r="G135" s="17" t="s">
        <v>1094</v>
      </c>
      <c r="H135" s="17" t="s">
        <v>1095</v>
      </c>
      <c r="I135" s="17" t="s">
        <v>1096</v>
      </c>
      <c r="J135" s="17" t="s">
        <v>1097</v>
      </c>
      <c r="K135" s="17" t="s">
        <v>400</v>
      </c>
      <c r="L135" s="17" t="s">
        <v>1102</v>
      </c>
      <c r="M135" s="43" t="s">
        <v>1103</v>
      </c>
      <c r="N135" s="18" t="b">
        <v>1</v>
      </c>
      <c r="O135" s="18" t="b">
        <v>0</v>
      </c>
      <c r="P135" s="18" t="b">
        <v>0</v>
      </c>
      <c r="Q135" s="17" t="s">
        <v>319</v>
      </c>
      <c r="R135" s="17" t="s">
        <v>1096</v>
      </c>
      <c r="S135" s="17" t="s">
        <v>1100</v>
      </c>
      <c r="T135" s="19"/>
      <c r="U135" s="19"/>
      <c r="V135" s="17"/>
      <c r="W135" s="17"/>
      <c r="X135" s="17"/>
      <c r="Y135" s="17"/>
      <c r="Z135" s="17"/>
      <c r="AA135" s="17"/>
      <c r="AB135" s="17"/>
      <c r="AC135" s="17"/>
    </row>
    <row r="136" ht="37.5" customHeight="1">
      <c r="A136" s="16" t="s">
        <v>122</v>
      </c>
      <c r="B136" s="16" t="s">
        <v>1104</v>
      </c>
      <c r="C136" s="16" t="s">
        <v>86</v>
      </c>
      <c r="D136" s="16" t="s">
        <v>990</v>
      </c>
      <c r="E136" s="12"/>
      <c r="F136" s="12"/>
      <c r="G136" s="12"/>
      <c r="H136" s="12"/>
      <c r="I136" s="12"/>
      <c r="J136" s="12"/>
      <c r="K136" s="12"/>
      <c r="L136" s="12"/>
      <c r="M136" s="16"/>
      <c r="N136" s="13" t="b">
        <v>1</v>
      </c>
      <c r="O136" s="13" t="b">
        <v>0</v>
      </c>
      <c r="P136" s="13" t="b">
        <v>1</v>
      </c>
      <c r="Q136" s="12"/>
      <c r="R136" s="12"/>
      <c r="S136" s="12"/>
      <c r="T136" s="14"/>
      <c r="U136" s="14"/>
      <c r="V136" s="12"/>
      <c r="W136" s="12"/>
      <c r="X136" s="12"/>
      <c r="Y136" s="12"/>
      <c r="Z136" s="12"/>
      <c r="AA136" s="12"/>
      <c r="AB136" s="12"/>
      <c r="AC136" s="12"/>
    </row>
    <row r="137" ht="37.5" customHeight="1">
      <c r="A137" s="17" t="s">
        <v>122</v>
      </c>
      <c r="B137" s="17" t="s">
        <v>1105</v>
      </c>
      <c r="C137" s="17" t="s">
        <v>705</v>
      </c>
      <c r="D137" s="17" t="s">
        <v>1092</v>
      </c>
      <c r="E137" s="17" t="s">
        <v>112</v>
      </c>
      <c r="F137" s="17" t="s">
        <v>1093</v>
      </c>
      <c r="G137" s="17" t="s">
        <v>1094</v>
      </c>
      <c r="H137" s="17" t="s">
        <v>1095</v>
      </c>
      <c r="I137" s="17" t="s">
        <v>1096</v>
      </c>
      <c r="J137" s="17" t="s">
        <v>1097</v>
      </c>
      <c r="K137" s="17" t="s">
        <v>1106</v>
      </c>
      <c r="L137" s="17" t="s">
        <v>1107</v>
      </c>
      <c r="M137" s="43" t="s">
        <v>1108</v>
      </c>
      <c r="N137" s="18" t="b">
        <v>1</v>
      </c>
      <c r="O137" s="18" t="b">
        <v>0</v>
      </c>
      <c r="P137" s="18" t="b">
        <v>0</v>
      </c>
      <c r="Q137" s="17" t="s">
        <v>775</v>
      </c>
      <c r="R137" s="17" t="s">
        <v>1096</v>
      </c>
      <c r="S137" s="17" t="s">
        <v>1100</v>
      </c>
      <c r="T137" s="19"/>
      <c r="U137" s="19"/>
      <c r="V137" s="17"/>
      <c r="W137" s="17"/>
      <c r="X137" s="17"/>
      <c r="Y137" s="17"/>
      <c r="Z137" s="17"/>
      <c r="AA137" s="17"/>
      <c r="AB137" s="17"/>
      <c r="AC137" s="17"/>
    </row>
    <row r="138" ht="37.5" customHeight="1">
      <c r="A138" s="12" t="s">
        <v>122</v>
      </c>
      <c r="B138" s="12" t="s">
        <v>1109</v>
      </c>
      <c r="C138" s="12" t="s">
        <v>705</v>
      </c>
      <c r="D138" s="12" t="s">
        <v>1110</v>
      </c>
      <c r="E138" s="12" t="s">
        <v>203</v>
      </c>
      <c r="F138" s="12" t="s">
        <v>1111</v>
      </c>
      <c r="G138" s="12" t="s">
        <v>1112</v>
      </c>
      <c r="H138" s="12" t="s">
        <v>1113</v>
      </c>
      <c r="I138" s="12" t="s">
        <v>1114</v>
      </c>
      <c r="J138" s="12" t="s">
        <v>1115</v>
      </c>
      <c r="K138" s="12" t="s">
        <v>1116</v>
      </c>
      <c r="L138" s="12" t="s">
        <v>1117</v>
      </c>
      <c r="M138" s="54" t="s">
        <v>1118</v>
      </c>
      <c r="N138" s="13" t="b">
        <v>1</v>
      </c>
      <c r="O138" s="13" t="b">
        <v>0</v>
      </c>
      <c r="P138" s="13" t="b">
        <v>0</v>
      </c>
      <c r="Q138" s="12" t="s">
        <v>319</v>
      </c>
      <c r="R138" s="12" t="s">
        <v>1114</v>
      </c>
      <c r="S138" s="12" t="s">
        <v>1119</v>
      </c>
      <c r="T138" s="14"/>
      <c r="U138" s="14"/>
      <c r="V138" s="12"/>
      <c r="W138" s="12"/>
      <c r="X138" s="12"/>
      <c r="Y138" s="12"/>
      <c r="Z138" s="12"/>
      <c r="AA138" s="12"/>
      <c r="AB138" s="12"/>
      <c r="AC138" s="12"/>
    </row>
    <row r="139" ht="37.5" customHeight="1">
      <c r="A139" s="17" t="s">
        <v>122</v>
      </c>
      <c r="B139" s="17" t="s">
        <v>1120</v>
      </c>
      <c r="C139" s="17" t="s">
        <v>705</v>
      </c>
      <c r="D139" s="17" t="s">
        <v>1110</v>
      </c>
      <c r="E139" s="17" t="s">
        <v>203</v>
      </c>
      <c r="F139" s="17" t="s">
        <v>1111</v>
      </c>
      <c r="G139" s="17" t="s">
        <v>1112</v>
      </c>
      <c r="H139" s="17" t="s">
        <v>1113</v>
      </c>
      <c r="I139" s="17" t="s">
        <v>1114</v>
      </c>
      <c r="J139" s="17" t="s">
        <v>1115</v>
      </c>
      <c r="K139" s="17" t="s">
        <v>1121</v>
      </c>
      <c r="L139" s="17" t="s">
        <v>1122</v>
      </c>
      <c r="M139" s="43" t="s">
        <v>1123</v>
      </c>
      <c r="N139" s="18" t="b">
        <v>1</v>
      </c>
      <c r="O139" s="18" t="b">
        <v>0</v>
      </c>
      <c r="P139" s="18" t="b">
        <v>0</v>
      </c>
      <c r="Q139" s="17" t="s">
        <v>341</v>
      </c>
      <c r="R139" s="17" t="s">
        <v>1114</v>
      </c>
      <c r="S139" s="17" t="s">
        <v>1119</v>
      </c>
      <c r="T139" s="19"/>
      <c r="U139" s="19"/>
      <c r="V139" s="17"/>
      <c r="W139" s="17"/>
      <c r="X139" s="17"/>
      <c r="Y139" s="17"/>
      <c r="Z139" s="17"/>
      <c r="AA139" s="17"/>
      <c r="AB139" s="17"/>
      <c r="AC139" s="17"/>
    </row>
    <row r="140" ht="37.5" customHeight="1">
      <c r="A140" s="12" t="s">
        <v>122</v>
      </c>
      <c r="B140" s="12" t="s">
        <v>1124</v>
      </c>
      <c r="C140" s="12" t="s">
        <v>705</v>
      </c>
      <c r="D140" s="12" t="s">
        <v>1110</v>
      </c>
      <c r="E140" s="12" t="s">
        <v>203</v>
      </c>
      <c r="F140" s="12" t="s">
        <v>1111</v>
      </c>
      <c r="G140" s="12" t="s">
        <v>1112</v>
      </c>
      <c r="H140" s="12" t="s">
        <v>1113</v>
      </c>
      <c r="I140" s="12" t="s">
        <v>1114</v>
      </c>
      <c r="J140" s="12" t="s">
        <v>1115</v>
      </c>
      <c r="K140" s="12" t="s">
        <v>1125</v>
      </c>
      <c r="L140" s="12" t="s">
        <v>1126</v>
      </c>
      <c r="M140" s="54" t="s">
        <v>1127</v>
      </c>
      <c r="N140" s="13" t="b">
        <v>0</v>
      </c>
      <c r="O140" s="13" t="b">
        <v>0</v>
      </c>
      <c r="P140" s="13" t="b">
        <v>0</v>
      </c>
      <c r="Q140" s="12" t="s">
        <v>775</v>
      </c>
      <c r="R140" s="12" t="s">
        <v>1114</v>
      </c>
      <c r="S140" s="12" t="s">
        <v>1119</v>
      </c>
      <c r="T140" s="14"/>
      <c r="U140" s="14"/>
      <c r="V140" s="12"/>
      <c r="W140" s="12"/>
      <c r="X140" s="12"/>
      <c r="Y140" s="12"/>
      <c r="Z140" s="12"/>
      <c r="AA140" s="12"/>
      <c r="AB140" s="12"/>
      <c r="AC140" s="12"/>
    </row>
    <row r="141" ht="37.5" customHeight="1">
      <c r="A141" s="17" t="s">
        <v>122</v>
      </c>
      <c r="B141" s="17" t="s">
        <v>1128</v>
      </c>
      <c r="C141" s="17" t="s">
        <v>711</v>
      </c>
      <c r="D141" s="17" t="s">
        <v>1129</v>
      </c>
      <c r="E141" s="17" t="s">
        <v>115</v>
      </c>
      <c r="F141" s="17" t="s">
        <v>1130</v>
      </c>
      <c r="G141" s="17" t="s">
        <v>119</v>
      </c>
      <c r="H141" s="17" t="s">
        <v>1131</v>
      </c>
      <c r="I141" s="17" t="s">
        <v>1132</v>
      </c>
      <c r="J141" s="17" t="s">
        <v>560</v>
      </c>
      <c r="K141" s="17" t="s">
        <v>888</v>
      </c>
      <c r="L141" s="17" t="s">
        <v>1133</v>
      </c>
      <c r="M141" s="43" t="s">
        <v>1134</v>
      </c>
      <c r="N141" s="18" t="b">
        <v>1</v>
      </c>
      <c r="O141" s="18" t="b">
        <v>0</v>
      </c>
      <c r="P141" s="18" t="b">
        <v>0</v>
      </c>
      <c r="Q141" s="17" t="s">
        <v>319</v>
      </c>
      <c r="R141" s="17" t="s">
        <v>1132</v>
      </c>
      <c r="S141" s="17" t="s">
        <v>1135</v>
      </c>
      <c r="T141" s="19"/>
      <c r="U141" s="19"/>
      <c r="V141" s="17"/>
      <c r="W141" s="17"/>
      <c r="X141" s="17"/>
      <c r="Y141" s="17"/>
      <c r="Z141" s="17"/>
      <c r="AA141" s="17"/>
      <c r="AB141" s="17"/>
      <c r="AC141" s="17"/>
    </row>
    <row r="142" ht="37.5" customHeight="1">
      <c r="A142" s="12" t="s">
        <v>122</v>
      </c>
      <c r="B142" s="12" t="s">
        <v>1136</v>
      </c>
      <c r="C142" s="12" t="s">
        <v>711</v>
      </c>
      <c r="D142" s="12" t="s">
        <v>1129</v>
      </c>
      <c r="E142" s="12" t="s">
        <v>115</v>
      </c>
      <c r="F142" s="12" t="s">
        <v>1130</v>
      </c>
      <c r="G142" s="12" t="s">
        <v>119</v>
      </c>
      <c r="H142" s="12" t="s">
        <v>1131</v>
      </c>
      <c r="I142" s="12" t="s">
        <v>1132</v>
      </c>
      <c r="J142" s="12" t="s">
        <v>560</v>
      </c>
      <c r="K142" s="12" t="s">
        <v>888</v>
      </c>
      <c r="L142" s="12" t="s">
        <v>1137</v>
      </c>
      <c r="M142" s="68" t="s">
        <v>1138</v>
      </c>
      <c r="N142" s="13" t="b">
        <v>1</v>
      </c>
      <c r="O142" s="13" t="b">
        <v>0</v>
      </c>
      <c r="P142" s="13" t="b">
        <v>0</v>
      </c>
      <c r="Q142" s="12" t="s">
        <v>319</v>
      </c>
      <c r="R142" s="12" t="s">
        <v>1132</v>
      </c>
      <c r="S142" s="12" t="s">
        <v>1135</v>
      </c>
      <c r="T142" s="14"/>
      <c r="U142" s="14"/>
      <c r="V142" s="12"/>
      <c r="W142" s="12"/>
      <c r="X142" s="12"/>
      <c r="Y142" s="12"/>
      <c r="Z142" s="12"/>
      <c r="AA142" s="12"/>
      <c r="AB142" s="12"/>
      <c r="AC142" s="12"/>
    </row>
    <row r="143" ht="37.5" customHeight="1">
      <c r="A143" s="17" t="s">
        <v>122</v>
      </c>
      <c r="B143" s="17" t="s">
        <v>1139</v>
      </c>
      <c r="C143" s="17" t="s">
        <v>711</v>
      </c>
      <c r="D143" s="17" t="s">
        <v>1140</v>
      </c>
      <c r="E143" s="17" t="s">
        <v>115</v>
      </c>
      <c r="F143" s="17" t="s">
        <v>1141</v>
      </c>
      <c r="G143" s="17" t="s">
        <v>622</v>
      </c>
      <c r="H143" s="17" t="s">
        <v>1142</v>
      </c>
      <c r="I143" s="17" t="s">
        <v>1143</v>
      </c>
      <c r="J143" s="17" t="s">
        <v>560</v>
      </c>
      <c r="K143" s="17" t="s">
        <v>444</v>
      </c>
      <c r="L143" s="17" t="s">
        <v>1144</v>
      </c>
      <c r="M143" s="43" t="s">
        <v>1145</v>
      </c>
      <c r="N143" s="18" t="b">
        <v>1</v>
      </c>
      <c r="O143" s="18" t="b">
        <v>0</v>
      </c>
      <c r="P143" s="18" t="b">
        <v>0</v>
      </c>
      <c r="Q143" s="17" t="s">
        <v>319</v>
      </c>
      <c r="R143" s="17" t="s">
        <v>1143</v>
      </c>
      <c r="S143" s="17" t="s">
        <v>1146</v>
      </c>
      <c r="T143" s="19"/>
      <c r="U143" s="19"/>
      <c r="V143" s="17"/>
      <c r="W143" s="17"/>
      <c r="X143" s="17"/>
      <c r="Y143" s="17"/>
      <c r="Z143" s="17"/>
      <c r="AA143" s="17"/>
      <c r="AB143" s="17"/>
      <c r="AC143" s="17"/>
    </row>
    <row r="144" ht="37.5" customHeight="1">
      <c r="A144" s="12" t="s">
        <v>122</v>
      </c>
      <c r="B144" s="12" t="s">
        <v>1147</v>
      </c>
      <c r="C144" s="12" t="s">
        <v>711</v>
      </c>
      <c r="D144" s="12" t="s">
        <v>1140</v>
      </c>
      <c r="E144" s="12" t="s">
        <v>115</v>
      </c>
      <c r="F144" s="12" t="s">
        <v>1141</v>
      </c>
      <c r="G144" s="12" t="s">
        <v>622</v>
      </c>
      <c r="H144" s="12" t="s">
        <v>1142</v>
      </c>
      <c r="I144" s="12" t="s">
        <v>1143</v>
      </c>
      <c r="J144" s="12" t="s">
        <v>560</v>
      </c>
      <c r="K144" s="12" t="s">
        <v>380</v>
      </c>
      <c r="L144" s="12" t="s">
        <v>1148</v>
      </c>
      <c r="M144" s="54" t="s">
        <v>1149</v>
      </c>
      <c r="N144" s="13" t="b">
        <v>0</v>
      </c>
      <c r="O144" s="13" t="b">
        <v>0</v>
      </c>
      <c r="P144" s="13" t="b">
        <v>0</v>
      </c>
      <c r="Q144" s="12" t="s">
        <v>319</v>
      </c>
      <c r="R144" s="12" t="s">
        <v>1143</v>
      </c>
      <c r="S144" s="12" t="s">
        <v>1146</v>
      </c>
      <c r="T144" s="14"/>
      <c r="U144" s="14"/>
      <c r="V144" s="12"/>
      <c r="W144" s="12"/>
      <c r="X144" s="12"/>
      <c r="Y144" s="12"/>
      <c r="Z144" s="12"/>
      <c r="AA144" s="12"/>
      <c r="AB144" s="12"/>
      <c r="AC144" s="12"/>
    </row>
    <row r="145" ht="37.5" customHeight="1">
      <c r="A145" s="17" t="s">
        <v>122</v>
      </c>
      <c r="B145" s="17" t="s">
        <v>1150</v>
      </c>
      <c r="C145" s="17" t="s">
        <v>711</v>
      </c>
      <c r="D145" s="17" t="s">
        <v>1140</v>
      </c>
      <c r="E145" s="17" t="s">
        <v>115</v>
      </c>
      <c r="F145" s="17" t="s">
        <v>1141</v>
      </c>
      <c r="G145" s="17" t="s">
        <v>622</v>
      </c>
      <c r="H145" s="17" t="s">
        <v>1142</v>
      </c>
      <c r="I145" s="17" t="s">
        <v>1143</v>
      </c>
      <c r="J145" s="17" t="s">
        <v>560</v>
      </c>
      <c r="K145" s="17" t="s">
        <v>380</v>
      </c>
      <c r="L145" s="17" t="s">
        <v>1151</v>
      </c>
      <c r="M145" s="43" t="s">
        <v>1152</v>
      </c>
      <c r="N145" s="18" t="b">
        <v>0</v>
      </c>
      <c r="O145" s="18" t="b">
        <v>0</v>
      </c>
      <c r="P145" s="18" t="b">
        <v>0</v>
      </c>
      <c r="Q145" s="17" t="s">
        <v>319</v>
      </c>
      <c r="R145" s="17" t="s">
        <v>1143</v>
      </c>
      <c r="S145" s="17" t="s">
        <v>1146</v>
      </c>
      <c r="T145" s="19"/>
      <c r="U145" s="19"/>
      <c r="V145" s="17"/>
      <c r="W145" s="17"/>
      <c r="X145" s="17"/>
      <c r="Y145" s="17"/>
      <c r="Z145" s="17"/>
      <c r="AA145" s="17"/>
      <c r="AB145" s="17"/>
      <c r="AC145" s="17"/>
    </row>
    <row r="146" ht="37.5" customHeight="1">
      <c r="A146" s="12" t="s">
        <v>122</v>
      </c>
      <c r="B146" s="12" t="s">
        <v>1153</v>
      </c>
      <c r="C146" s="12" t="s">
        <v>711</v>
      </c>
      <c r="D146" s="12" t="s">
        <v>492</v>
      </c>
      <c r="E146" s="12" t="s">
        <v>251</v>
      </c>
      <c r="F146" s="12" t="s">
        <v>712</v>
      </c>
      <c r="G146" s="12" t="s">
        <v>693</v>
      </c>
      <c r="H146" s="12" t="s">
        <v>713</v>
      </c>
      <c r="I146" s="12" t="s">
        <v>714</v>
      </c>
      <c r="J146" s="12" t="s">
        <v>696</v>
      </c>
      <c r="K146" s="12" t="s">
        <v>1154</v>
      </c>
      <c r="L146" s="12" t="s">
        <v>1155</v>
      </c>
      <c r="M146" s="12" t="s">
        <v>1156</v>
      </c>
      <c r="N146" s="13" t="b">
        <v>0</v>
      </c>
      <c r="O146" s="13" t="b">
        <v>0</v>
      </c>
      <c r="P146" s="13" t="b">
        <v>0</v>
      </c>
      <c r="Q146" s="12" t="s">
        <v>341</v>
      </c>
      <c r="R146" s="12" t="s">
        <v>714</v>
      </c>
      <c r="S146" s="12" t="s">
        <v>497</v>
      </c>
      <c r="T146" s="14"/>
      <c r="U146" s="14"/>
      <c r="V146" s="12"/>
      <c r="W146" s="12"/>
      <c r="X146" s="12"/>
      <c r="Y146" s="12"/>
      <c r="Z146" s="12"/>
      <c r="AA146" s="12"/>
      <c r="AB146" s="12"/>
      <c r="AC146" s="12"/>
    </row>
    <row r="147" ht="37.5" customHeight="1">
      <c r="A147" s="17" t="s">
        <v>122</v>
      </c>
      <c r="B147" s="17" t="s">
        <v>1157</v>
      </c>
      <c r="C147" s="17" t="s">
        <v>711</v>
      </c>
      <c r="D147" s="17" t="s">
        <v>492</v>
      </c>
      <c r="E147" s="17" t="s">
        <v>251</v>
      </c>
      <c r="F147" s="17" t="s">
        <v>712</v>
      </c>
      <c r="G147" s="17" t="s">
        <v>693</v>
      </c>
      <c r="H147" s="17" t="s">
        <v>713</v>
      </c>
      <c r="I147" s="17" t="s">
        <v>714</v>
      </c>
      <c r="J147" s="17" t="s">
        <v>696</v>
      </c>
      <c r="K147" s="17" t="s">
        <v>1158</v>
      </c>
      <c r="L147" s="17" t="s">
        <v>1107</v>
      </c>
      <c r="M147" s="17" t="s">
        <v>1159</v>
      </c>
      <c r="N147" s="18" t="b">
        <v>0</v>
      </c>
      <c r="O147" s="18" t="b">
        <v>0</v>
      </c>
      <c r="P147" s="18" t="b">
        <v>0</v>
      </c>
      <c r="Q147" s="17" t="s">
        <v>775</v>
      </c>
      <c r="R147" s="17" t="s">
        <v>714</v>
      </c>
      <c r="S147" s="17" t="s">
        <v>497</v>
      </c>
      <c r="T147" s="19"/>
      <c r="U147" s="19"/>
      <c r="V147" s="17"/>
      <c r="W147" s="17"/>
      <c r="X147" s="17"/>
      <c r="Y147" s="17"/>
      <c r="Z147" s="17"/>
      <c r="AA147" s="17"/>
      <c r="AB147" s="17"/>
      <c r="AC147" s="17"/>
    </row>
    <row r="148" ht="37.5" customHeight="1">
      <c r="A148" s="58" t="s">
        <v>122</v>
      </c>
      <c r="B148" s="58" t="s">
        <v>1160</v>
      </c>
      <c r="C148" s="58" t="s">
        <v>711</v>
      </c>
      <c r="D148" s="58" t="s">
        <v>498</v>
      </c>
      <c r="E148" s="58" t="s">
        <v>112</v>
      </c>
      <c r="F148" s="58" t="s">
        <v>715</v>
      </c>
      <c r="G148" s="58" t="s">
        <v>716</v>
      </c>
      <c r="H148" s="58" t="s">
        <v>717</v>
      </c>
      <c r="I148" s="58" t="s">
        <v>718</v>
      </c>
      <c r="J148" s="58" t="s">
        <v>719</v>
      </c>
      <c r="K148" s="58" t="s">
        <v>1161</v>
      </c>
      <c r="L148" s="58" t="s">
        <v>910</v>
      </c>
      <c r="M148" s="69" t="s">
        <v>1162</v>
      </c>
      <c r="N148" s="60" t="b">
        <v>0</v>
      </c>
      <c r="O148" s="60" t="b">
        <v>0</v>
      </c>
      <c r="P148" s="60" t="b">
        <v>0</v>
      </c>
      <c r="Q148" s="58" t="s">
        <v>341</v>
      </c>
      <c r="R148" s="58" t="s">
        <v>718</v>
      </c>
      <c r="S148" s="58" t="s">
        <v>504</v>
      </c>
      <c r="T148" s="61"/>
      <c r="U148" s="61"/>
      <c r="V148" s="58"/>
      <c r="W148" s="58"/>
      <c r="X148" s="58"/>
      <c r="Y148" s="58"/>
      <c r="Z148" s="58"/>
      <c r="AA148" s="58"/>
      <c r="AB148" s="58"/>
      <c r="AC148" s="58"/>
    </row>
    <row r="149" ht="37.5" customHeight="1">
      <c r="A149" s="17" t="s">
        <v>122</v>
      </c>
      <c r="B149" s="17" t="s">
        <v>1163</v>
      </c>
      <c r="C149" s="17" t="s">
        <v>711</v>
      </c>
      <c r="D149" s="33" t="s">
        <v>498</v>
      </c>
      <c r="E149" s="17" t="s">
        <v>112</v>
      </c>
      <c r="F149" s="17" t="s">
        <v>715</v>
      </c>
      <c r="G149" s="17" t="s">
        <v>716</v>
      </c>
      <c r="H149" s="17" t="s">
        <v>717</v>
      </c>
      <c r="I149" s="17" t="s">
        <v>718</v>
      </c>
      <c r="J149" s="17" t="s">
        <v>719</v>
      </c>
      <c r="K149" s="17" t="s">
        <v>749</v>
      </c>
      <c r="L149" s="17" t="s">
        <v>1164</v>
      </c>
      <c r="M149" s="17" t="s">
        <v>1165</v>
      </c>
      <c r="N149" s="18" t="b">
        <v>1</v>
      </c>
      <c r="O149" s="18" t="b">
        <v>0</v>
      </c>
      <c r="P149" s="18" t="b">
        <v>0</v>
      </c>
      <c r="Q149" s="17" t="s">
        <v>775</v>
      </c>
      <c r="R149" s="17" t="s">
        <v>718</v>
      </c>
      <c r="S149" s="17" t="s">
        <v>504</v>
      </c>
      <c r="T149" s="19"/>
      <c r="U149" s="19"/>
      <c r="V149" s="17"/>
      <c r="W149" s="17"/>
      <c r="X149" s="17"/>
      <c r="Y149" s="17"/>
      <c r="Z149" s="17"/>
      <c r="AA149" s="17"/>
      <c r="AB149" s="17"/>
      <c r="AC149" s="17"/>
    </row>
    <row r="150" ht="37.5" customHeight="1">
      <c r="A150" s="12" t="s">
        <v>122</v>
      </c>
      <c r="B150" s="12" t="s">
        <v>1166</v>
      </c>
      <c r="C150" s="12" t="s">
        <v>711</v>
      </c>
      <c r="D150" s="12" t="s">
        <v>1167</v>
      </c>
      <c r="E150" s="12" t="s">
        <v>115</v>
      </c>
      <c r="F150" s="12" t="s">
        <v>1168</v>
      </c>
      <c r="G150" s="12" t="s">
        <v>119</v>
      </c>
      <c r="H150" s="12" t="s">
        <v>1169</v>
      </c>
      <c r="I150" s="12" t="s">
        <v>1170</v>
      </c>
      <c r="J150" s="12" t="s">
        <v>560</v>
      </c>
      <c r="K150" s="12" t="s">
        <v>380</v>
      </c>
      <c r="L150" s="12" t="s">
        <v>1171</v>
      </c>
      <c r="M150" s="54" t="s">
        <v>1172</v>
      </c>
      <c r="N150" s="13" t="b">
        <v>1</v>
      </c>
      <c r="O150" s="13" t="b">
        <v>0</v>
      </c>
      <c r="P150" s="13" t="b">
        <v>0</v>
      </c>
      <c r="Q150" s="12" t="s">
        <v>319</v>
      </c>
      <c r="R150" s="12" t="s">
        <v>1170</v>
      </c>
      <c r="S150" s="12" t="s">
        <v>1173</v>
      </c>
      <c r="T150" s="14"/>
      <c r="U150" s="14"/>
      <c r="V150" s="12"/>
      <c r="W150" s="12"/>
      <c r="X150" s="12"/>
      <c r="Y150" s="12"/>
      <c r="Z150" s="12"/>
      <c r="AA150" s="12"/>
      <c r="AB150" s="12"/>
      <c r="AC150" s="12"/>
    </row>
    <row r="151" ht="37.5" customHeight="1">
      <c r="A151" s="17" t="s">
        <v>122</v>
      </c>
      <c r="B151" s="17" t="s">
        <v>1174</v>
      </c>
      <c r="C151" s="17" t="s">
        <v>711</v>
      </c>
      <c r="D151" s="17" t="s">
        <v>1167</v>
      </c>
      <c r="E151" s="17" t="s">
        <v>115</v>
      </c>
      <c r="F151" s="17" t="s">
        <v>1168</v>
      </c>
      <c r="G151" s="17" t="s">
        <v>119</v>
      </c>
      <c r="H151" s="17" t="s">
        <v>1169</v>
      </c>
      <c r="I151" s="17" t="s">
        <v>1170</v>
      </c>
      <c r="J151" s="17" t="s">
        <v>560</v>
      </c>
      <c r="K151" s="17" t="s">
        <v>380</v>
      </c>
      <c r="L151" s="17" t="s">
        <v>1175</v>
      </c>
      <c r="M151" s="43" t="s">
        <v>1176</v>
      </c>
      <c r="N151" s="18" t="b">
        <v>0</v>
      </c>
      <c r="O151" s="18" t="b">
        <v>0</v>
      </c>
      <c r="P151" s="18" t="b">
        <v>0</v>
      </c>
      <c r="Q151" s="17" t="s">
        <v>319</v>
      </c>
      <c r="R151" s="17" t="s">
        <v>1170</v>
      </c>
      <c r="S151" s="17" t="s">
        <v>1173</v>
      </c>
      <c r="T151" s="19"/>
      <c r="U151" s="19"/>
      <c r="V151" s="17"/>
      <c r="W151" s="17"/>
      <c r="X151" s="17"/>
      <c r="Y151" s="17"/>
      <c r="Z151" s="17"/>
      <c r="AA151" s="17"/>
      <c r="AB151" s="17"/>
      <c r="AC151" s="17"/>
    </row>
    <row r="152" ht="37.5" customHeight="1">
      <c r="A152" s="12" t="s">
        <v>122</v>
      </c>
      <c r="B152" s="12" t="s">
        <v>1177</v>
      </c>
      <c r="C152" s="12" t="s">
        <v>711</v>
      </c>
      <c r="D152" s="12" t="s">
        <v>1167</v>
      </c>
      <c r="E152" s="12" t="s">
        <v>115</v>
      </c>
      <c r="F152" s="12" t="s">
        <v>1168</v>
      </c>
      <c r="G152" s="12" t="s">
        <v>119</v>
      </c>
      <c r="H152" s="12" t="s">
        <v>1169</v>
      </c>
      <c r="I152" s="12" t="s">
        <v>1170</v>
      </c>
      <c r="J152" s="12" t="s">
        <v>560</v>
      </c>
      <c r="K152" s="12" t="s">
        <v>380</v>
      </c>
      <c r="L152" s="12" t="s">
        <v>1178</v>
      </c>
      <c r="M152" s="54" t="s">
        <v>1179</v>
      </c>
      <c r="N152" s="13" t="b">
        <v>1</v>
      </c>
      <c r="O152" s="13" t="b">
        <v>0</v>
      </c>
      <c r="P152" s="13" t="b">
        <v>0</v>
      </c>
      <c r="Q152" s="12" t="s">
        <v>319</v>
      </c>
      <c r="R152" s="12" t="s">
        <v>1170</v>
      </c>
      <c r="S152" s="12" t="s">
        <v>1173</v>
      </c>
      <c r="T152" s="14"/>
      <c r="U152" s="14"/>
      <c r="V152" s="12"/>
      <c r="W152" s="12"/>
      <c r="X152" s="12"/>
      <c r="Y152" s="12"/>
      <c r="Z152" s="12"/>
      <c r="AA152" s="12"/>
      <c r="AB152" s="12"/>
      <c r="AC152" s="12"/>
    </row>
    <row r="153" ht="37.5" customHeight="1">
      <c r="A153" s="17" t="s">
        <v>122</v>
      </c>
      <c r="B153" s="17" t="s">
        <v>1180</v>
      </c>
      <c r="C153" s="17" t="s">
        <v>1181</v>
      </c>
      <c r="D153" s="17" t="s">
        <v>1182</v>
      </c>
      <c r="E153" s="17" t="s">
        <v>115</v>
      </c>
      <c r="F153" s="17" t="s">
        <v>1183</v>
      </c>
      <c r="G153" s="17" t="s">
        <v>622</v>
      </c>
      <c r="H153" s="17" t="s">
        <v>1184</v>
      </c>
      <c r="I153" s="17" t="s">
        <v>1185</v>
      </c>
      <c r="J153" s="17" t="s">
        <v>560</v>
      </c>
      <c r="K153" s="17" t="s">
        <v>1186</v>
      </c>
      <c r="L153" s="17" t="s">
        <v>1187</v>
      </c>
      <c r="M153" s="48" t="s">
        <v>1188</v>
      </c>
      <c r="N153" s="18" t="b">
        <v>1</v>
      </c>
      <c r="O153" s="18" t="b">
        <v>0</v>
      </c>
      <c r="P153" s="18" t="b">
        <v>0</v>
      </c>
      <c r="Q153" s="17" t="s">
        <v>319</v>
      </c>
      <c r="R153" s="17" t="s">
        <v>1185</v>
      </c>
      <c r="S153" s="17" t="s">
        <v>1189</v>
      </c>
      <c r="T153" s="19"/>
      <c r="U153" s="19"/>
      <c r="V153" s="17"/>
      <c r="W153" s="17"/>
      <c r="X153" s="17"/>
      <c r="Y153" s="17"/>
      <c r="Z153" s="17"/>
      <c r="AA153" s="17"/>
      <c r="AB153" s="17"/>
      <c r="AC153" s="17"/>
    </row>
    <row r="154" ht="37.5" customHeight="1">
      <c r="A154" s="12" t="s">
        <v>122</v>
      </c>
      <c r="B154" s="12" t="s">
        <v>1190</v>
      </c>
      <c r="C154" s="12" t="s">
        <v>1181</v>
      </c>
      <c r="D154" s="12" t="s">
        <v>1182</v>
      </c>
      <c r="E154" s="12" t="s">
        <v>115</v>
      </c>
      <c r="F154" s="12" t="s">
        <v>1183</v>
      </c>
      <c r="G154" s="12" t="s">
        <v>622</v>
      </c>
      <c r="H154" s="12" t="s">
        <v>1184</v>
      </c>
      <c r="I154" s="12" t="s">
        <v>1185</v>
      </c>
      <c r="J154" s="12" t="s">
        <v>560</v>
      </c>
      <c r="K154" s="12" t="s">
        <v>380</v>
      </c>
      <c r="L154" s="12" t="s">
        <v>1191</v>
      </c>
      <c r="M154" s="54" t="s">
        <v>1192</v>
      </c>
      <c r="N154" s="13" t="b">
        <v>0</v>
      </c>
      <c r="O154" s="13" t="b">
        <v>0</v>
      </c>
      <c r="P154" s="13" t="b">
        <v>0</v>
      </c>
      <c r="Q154" s="12" t="s">
        <v>319</v>
      </c>
      <c r="R154" s="12" t="s">
        <v>1185</v>
      </c>
      <c r="S154" s="12" t="s">
        <v>1189</v>
      </c>
      <c r="T154" s="14"/>
      <c r="U154" s="14"/>
      <c r="V154" s="12"/>
      <c r="W154" s="12"/>
      <c r="X154" s="12"/>
      <c r="Y154" s="12"/>
      <c r="Z154" s="12"/>
      <c r="AA154" s="12"/>
      <c r="AB154" s="12"/>
      <c r="AC154" s="12"/>
    </row>
    <row r="155" ht="37.5" customHeight="1">
      <c r="A155" s="17" t="s">
        <v>122</v>
      </c>
      <c r="B155" s="17" t="s">
        <v>1193</v>
      </c>
      <c r="C155" s="17" t="s">
        <v>1181</v>
      </c>
      <c r="D155" s="17" t="s">
        <v>1182</v>
      </c>
      <c r="E155" s="17" t="s">
        <v>115</v>
      </c>
      <c r="F155" s="17" t="s">
        <v>1183</v>
      </c>
      <c r="G155" s="17" t="s">
        <v>622</v>
      </c>
      <c r="H155" s="17" t="s">
        <v>1184</v>
      </c>
      <c r="I155" s="17" t="s">
        <v>1185</v>
      </c>
      <c r="J155" s="17" t="s">
        <v>560</v>
      </c>
      <c r="K155" s="17" t="s">
        <v>380</v>
      </c>
      <c r="L155" s="17" t="s">
        <v>1194</v>
      </c>
      <c r="M155" s="43" t="s">
        <v>1195</v>
      </c>
      <c r="N155" s="18" t="b">
        <v>1</v>
      </c>
      <c r="O155" s="18" t="b">
        <v>0</v>
      </c>
      <c r="P155" s="18" t="b">
        <v>0</v>
      </c>
      <c r="Q155" s="17" t="s">
        <v>319</v>
      </c>
      <c r="R155" s="17" t="s">
        <v>1185</v>
      </c>
      <c r="S155" s="17" t="s">
        <v>1189</v>
      </c>
      <c r="T155" s="19"/>
      <c r="U155" s="19"/>
      <c r="V155" s="17"/>
      <c r="W155" s="17"/>
      <c r="X155" s="17"/>
      <c r="Y155" s="17"/>
      <c r="Z155" s="17"/>
      <c r="AA155" s="17"/>
      <c r="AB155" s="17"/>
      <c r="AC155" s="17"/>
    </row>
    <row r="156" ht="37.5" customHeight="1">
      <c r="A156" s="12" t="s">
        <v>122</v>
      </c>
      <c r="B156" s="12" t="s">
        <v>1196</v>
      </c>
      <c r="C156" s="12" t="s">
        <v>1181</v>
      </c>
      <c r="D156" s="12" t="s">
        <v>1197</v>
      </c>
      <c r="E156" s="12" t="s">
        <v>115</v>
      </c>
      <c r="F156" s="12" t="s">
        <v>1198</v>
      </c>
      <c r="G156" s="12" t="s">
        <v>119</v>
      </c>
      <c r="H156" s="12" t="s">
        <v>1199</v>
      </c>
      <c r="I156" s="12" t="s">
        <v>1200</v>
      </c>
      <c r="J156" s="12" t="s">
        <v>1201</v>
      </c>
      <c r="K156" s="12" t="s">
        <v>436</v>
      </c>
      <c r="L156" s="12" t="s">
        <v>1202</v>
      </c>
      <c r="M156" s="54" t="s">
        <v>1203</v>
      </c>
      <c r="N156" s="13" t="b">
        <v>1</v>
      </c>
      <c r="O156" s="13" t="b">
        <v>0</v>
      </c>
      <c r="P156" s="13" t="b">
        <v>0</v>
      </c>
      <c r="Q156" s="12" t="s">
        <v>319</v>
      </c>
      <c r="R156" s="12" t="s">
        <v>1200</v>
      </c>
      <c r="S156" s="12" t="s">
        <v>1204</v>
      </c>
      <c r="T156" s="14"/>
      <c r="U156" s="14"/>
      <c r="V156" s="12"/>
      <c r="W156" s="12"/>
      <c r="X156" s="12"/>
      <c r="Y156" s="12"/>
      <c r="Z156" s="12"/>
      <c r="AA156" s="12"/>
      <c r="AB156" s="12"/>
      <c r="AC156" s="12"/>
    </row>
    <row r="157" ht="37.5" customHeight="1">
      <c r="A157" s="17" t="s">
        <v>122</v>
      </c>
      <c r="B157" s="17" t="s">
        <v>1205</v>
      </c>
      <c r="C157" s="17" t="s">
        <v>1181</v>
      </c>
      <c r="D157" s="17" t="s">
        <v>1197</v>
      </c>
      <c r="E157" s="17" t="s">
        <v>115</v>
      </c>
      <c r="F157" s="17" t="s">
        <v>1198</v>
      </c>
      <c r="G157" s="17" t="s">
        <v>119</v>
      </c>
      <c r="H157" s="17" t="s">
        <v>1199</v>
      </c>
      <c r="I157" s="17" t="s">
        <v>1200</v>
      </c>
      <c r="J157" s="17" t="s">
        <v>1201</v>
      </c>
      <c r="K157" s="17" t="s">
        <v>436</v>
      </c>
      <c r="L157" s="17" t="s">
        <v>1206</v>
      </c>
      <c r="M157" s="17" t="s">
        <v>1207</v>
      </c>
      <c r="N157" s="18" t="b">
        <v>0</v>
      </c>
      <c r="O157" s="18" t="b">
        <v>0</v>
      </c>
      <c r="P157" s="18" t="b">
        <v>0</v>
      </c>
      <c r="Q157" s="17" t="s">
        <v>319</v>
      </c>
      <c r="R157" s="17" t="s">
        <v>1200</v>
      </c>
      <c r="S157" s="17" t="s">
        <v>1204</v>
      </c>
      <c r="T157" s="19"/>
      <c r="U157" s="19"/>
      <c r="V157" s="17"/>
      <c r="W157" s="63"/>
      <c r="X157" s="63"/>
      <c r="Y157" s="63"/>
      <c r="Z157" s="63"/>
      <c r="AA157" s="63"/>
      <c r="AB157" s="63"/>
      <c r="AC157" s="63"/>
    </row>
    <row r="158" ht="37.5" customHeight="1">
      <c r="A158" s="12" t="s">
        <v>122</v>
      </c>
      <c r="B158" s="12" t="s">
        <v>1208</v>
      </c>
      <c r="C158" s="12" t="s">
        <v>1181</v>
      </c>
      <c r="D158" s="12" t="s">
        <v>1197</v>
      </c>
      <c r="E158" s="12" t="s">
        <v>115</v>
      </c>
      <c r="F158" s="12" t="s">
        <v>1198</v>
      </c>
      <c r="G158" s="12" t="s">
        <v>119</v>
      </c>
      <c r="H158" s="12" t="s">
        <v>1199</v>
      </c>
      <c r="I158" s="12" t="s">
        <v>1200</v>
      </c>
      <c r="J158" s="12" t="s">
        <v>1201</v>
      </c>
      <c r="K158" s="12" t="s">
        <v>436</v>
      </c>
      <c r="L158" s="12" t="s">
        <v>1209</v>
      </c>
      <c r="M158" s="12" t="s">
        <v>1210</v>
      </c>
      <c r="N158" s="13" t="b">
        <v>0</v>
      </c>
      <c r="O158" s="13" t="b">
        <v>0</v>
      </c>
      <c r="P158" s="13" t="b">
        <v>0</v>
      </c>
      <c r="Q158" s="12" t="s">
        <v>319</v>
      </c>
      <c r="R158" s="12" t="s">
        <v>1200</v>
      </c>
      <c r="S158" s="12" t="s">
        <v>1204</v>
      </c>
      <c r="T158" s="14"/>
      <c r="U158" s="14"/>
      <c r="V158" s="12"/>
      <c r="W158" s="58"/>
      <c r="X158" s="58"/>
      <c r="Y158" s="58"/>
      <c r="Z158" s="58"/>
      <c r="AA158" s="58"/>
      <c r="AB158" s="58"/>
      <c r="AC158" s="58"/>
    </row>
    <row r="159" ht="37.5" customHeight="1">
      <c r="A159" s="17" t="s">
        <v>122</v>
      </c>
      <c r="B159" s="17" t="s">
        <v>1211</v>
      </c>
      <c r="C159" s="17" t="s">
        <v>1181</v>
      </c>
      <c r="D159" s="17" t="s">
        <v>1212</v>
      </c>
      <c r="E159" s="17" t="s">
        <v>115</v>
      </c>
      <c r="F159" s="17" t="s">
        <v>1213</v>
      </c>
      <c r="G159" s="17" t="s">
        <v>119</v>
      </c>
      <c r="H159" s="17" t="s">
        <v>1214</v>
      </c>
      <c r="I159" s="17" t="s">
        <v>1215</v>
      </c>
      <c r="J159" s="17" t="s">
        <v>631</v>
      </c>
      <c r="K159" s="17" t="s">
        <v>494</v>
      </c>
      <c r="L159" s="17" t="s">
        <v>1216</v>
      </c>
      <c r="M159" s="17" t="s">
        <v>1217</v>
      </c>
      <c r="N159" s="18" t="b">
        <v>0</v>
      </c>
      <c r="O159" s="18" t="b">
        <v>0</v>
      </c>
      <c r="P159" s="18" t="b">
        <v>0</v>
      </c>
      <c r="Q159" s="17" t="s">
        <v>319</v>
      </c>
      <c r="R159" s="17" t="s">
        <v>1215</v>
      </c>
      <c r="S159" s="17" t="s">
        <v>1218</v>
      </c>
      <c r="T159" s="19"/>
      <c r="U159" s="19"/>
      <c r="V159" s="17"/>
      <c r="W159" s="17"/>
      <c r="X159" s="17"/>
      <c r="Y159" s="17"/>
      <c r="Z159" s="17"/>
      <c r="AA159" s="17"/>
      <c r="AB159" s="17"/>
      <c r="AC159" s="17"/>
    </row>
    <row r="160" ht="37.5" customHeight="1">
      <c r="A160" s="12" t="s">
        <v>122</v>
      </c>
      <c r="B160" s="12" t="s">
        <v>1219</v>
      </c>
      <c r="C160" s="12" t="s">
        <v>1181</v>
      </c>
      <c r="D160" s="12" t="s">
        <v>1212</v>
      </c>
      <c r="E160" s="12" t="s">
        <v>115</v>
      </c>
      <c r="F160" s="12" t="s">
        <v>1213</v>
      </c>
      <c r="G160" s="12" t="s">
        <v>119</v>
      </c>
      <c r="H160" s="12" t="s">
        <v>1214</v>
      </c>
      <c r="I160" s="12" t="s">
        <v>1215</v>
      </c>
      <c r="J160" s="12" t="s">
        <v>631</v>
      </c>
      <c r="K160" s="12" t="s">
        <v>1220</v>
      </c>
      <c r="L160" s="12" t="s">
        <v>1221</v>
      </c>
      <c r="M160" s="12" t="s">
        <v>1222</v>
      </c>
      <c r="N160" s="13" t="b">
        <v>0</v>
      </c>
      <c r="O160" s="13" t="b">
        <v>0</v>
      </c>
      <c r="P160" s="13" t="b">
        <v>0</v>
      </c>
      <c r="Q160" s="12" t="s">
        <v>341</v>
      </c>
      <c r="R160" s="12" t="s">
        <v>1215</v>
      </c>
      <c r="S160" s="12" t="s">
        <v>1218</v>
      </c>
      <c r="T160" s="14"/>
      <c r="U160" s="14"/>
      <c r="V160" s="12"/>
      <c r="W160" s="12"/>
      <c r="X160" s="12"/>
      <c r="Y160" s="12"/>
      <c r="Z160" s="12"/>
      <c r="AA160" s="12"/>
      <c r="AB160" s="12"/>
      <c r="AC160" s="12"/>
    </row>
    <row r="161" ht="37.5" customHeight="1">
      <c r="A161" s="17" t="s">
        <v>122</v>
      </c>
      <c r="B161" s="17" t="s">
        <v>1223</v>
      </c>
      <c r="C161" s="17" t="s">
        <v>1181</v>
      </c>
      <c r="D161" s="17" t="s">
        <v>1212</v>
      </c>
      <c r="E161" s="17" t="s">
        <v>115</v>
      </c>
      <c r="F161" s="17" t="s">
        <v>1213</v>
      </c>
      <c r="G161" s="17" t="s">
        <v>119</v>
      </c>
      <c r="H161" s="17" t="s">
        <v>1214</v>
      </c>
      <c r="I161" s="17" t="s">
        <v>1215</v>
      </c>
      <c r="J161" s="17" t="s">
        <v>631</v>
      </c>
      <c r="K161" s="17" t="s">
        <v>1220</v>
      </c>
      <c r="L161" s="17" t="s">
        <v>934</v>
      </c>
      <c r="M161" s="17" t="s">
        <v>1224</v>
      </c>
      <c r="N161" s="18" t="b">
        <v>0</v>
      </c>
      <c r="O161" s="18" t="b">
        <v>0</v>
      </c>
      <c r="P161" s="18" t="b">
        <v>0</v>
      </c>
      <c r="Q161" s="17" t="s">
        <v>341</v>
      </c>
      <c r="R161" s="17" t="s">
        <v>1215</v>
      </c>
      <c r="S161" s="17" t="s">
        <v>1218</v>
      </c>
      <c r="T161" s="19"/>
      <c r="U161" s="19"/>
      <c r="V161" s="17"/>
      <c r="W161" s="17"/>
      <c r="X161" s="17"/>
      <c r="Y161" s="17"/>
      <c r="Z161" s="17"/>
      <c r="AA161" s="17"/>
      <c r="AB161" s="17"/>
      <c r="AC161" s="17"/>
    </row>
    <row r="162" ht="37.5" customHeight="1">
      <c r="A162" s="12" t="s">
        <v>122</v>
      </c>
      <c r="B162" s="12" t="s">
        <v>1225</v>
      </c>
      <c r="C162" s="12" t="s">
        <v>1181</v>
      </c>
      <c r="D162" s="12" t="s">
        <v>1226</v>
      </c>
      <c r="E162" s="12" t="s">
        <v>257</v>
      </c>
      <c r="F162" s="12" t="s">
        <v>1227</v>
      </c>
      <c r="G162" s="12" t="s">
        <v>1228</v>
      </c>
      <c r="H162" s="12" t="s">
        <v>1229</v>
      </c>
      <c r="I162" s="12" t="s">
        <v>1230</v>
      </c>
      <c r="J162" s="12" t="s">
        <v>1231</v>
      </c>
      <c r="K162" s="12" t="s">
        <v>494</v>
      </c>
      <c r="L162" s="12" t="s">
        <v>1232</v>
      </c>
      <c r="M162" s="12" t="s">
        <v>1233</v>
      </c>
      <c r="N162" s="13" t="b">
        <v>0</v>
      </c>
      <c r="O162" s="13" t="b">
        <v>0</v>
      </c>
      <c r="P162" s="13" t="b">
        <v>0</v>
      </c>
      <c r="Q162" s="12" t="s">
        <v>319</v>
      </c>
      <c r="R162" s="12" t="s">
        <v>1230</v>
      </c>
      <c r="S162" s="12" t="s">
        <v>1234</v>
      </c>
      <c r="T162" s="14"/>
      <c r="U162" s="14"/>
      <c r="V162" s="12"/>
      <c r="W162" s="12"/>
      <c r="X162" s="12"/>
      <c r="Y162" s="12"/>
      <c r="Z162" s="12"/>
      <c r="AA162" s="12"/>
      <c r="AB162" s="12"/>
      <c r="AC162" s="12"/>
    </row>
    <row r="163" ht="37.5" customHeight="1">
      <c r="A163" s="17" t="s">
        <v>122</v>
      </c>
      <c r="B163" s="17" t="s">
        <v>1235</v>
      </c>
      <c r="C163" s="17" t="s">
        <v>1181</v>
      </c>
      <c r="D163" s="17" t="s">
        <v>1226</v>
      </c>
      <c r="E163" s="17" t="s">
        <v>257</v>
      </c>
      <c r="F163" s="17" t="s">
        <v>1227</v>
      </c>
      <c r="G163" s="17" t="s">
        <v>1228</v>
      </c>
      <c r="H163" s="17" t="s">
        <v>1229</v>
      </c>
      <c r="I163" s="17" t="s">
        <v>1230</v>
      </c>
      <c r="J163" s="17" t="s">
        <v>1231</v>
      </c>
      <c r="K163" s="17" t="s">
        <v>407</v>
      </c>
      <c r="L163" s="17" t="s">
        <v>1236</v>
      </c>
      <c r="M163" s="17" t="s">
        <v>1237</v>
      </c>
      <c r="N163" s="18" t="b">
        <v>0</v>
      </c>
      <c r="O163" s="18" t="b">
        <v>0</v>
      </c>
      <c r="P163" s="18" t="b">
        <v>0</v>
      </c>
      <c r="Q163" s="17" t="s">
        <v>341</v>
      </c>
      <c r="R163" s="17" t="s">
        <v>1230</v>
      </c>
      <c r="S163" s="17" t="s">
        <v>1234</v>
      </c>
      <c r="T163" s="19"/>
      <c r="U163" s="19"/>
      <c r="V163" s="17"/>
      <c r="W163" s="17"/>
      <c r="X163" s="17"/>
      <c r="Y163" s="17"/>
      <c r="Z163" s="17"/>
      <c r="AA163" s="17"/>
      <c r="AB163" s="17"/>
      <c r="AC163" s="17"/>
    </row>
    <row r="164" ht="37.5" customHeight="1">
      <c r="A164" s="12" t="s">
        <v>122</v>
      </c>
      <c r="B164" s="12" t="s">
        <v>1238</v>
      </c>
      <c r="C164" s="12" t="s">
        <v>1181</v>
      </c>
      <c r="D164" s="12" t="s">
        <v>1226</v>
      </c>
      <c r="E164" s="12" t="s">
        <v>257</v>
      </c>
      <c r="F164" s="12" t="s">
        <v>1227</v>
      </c>
      <c r="G164" s="12" t="s">
        <v>1228</v>
      </c>
      <c r="H164" s="12" t="s">
        <v>1229</v>
      </c>
      <c r="I164" s="12" t="s">
        <v>1230</v>
      </c>
      <c r="J164" s="12" t="s">
        <v>1231</v>
      </c>
      <c r="K164" s="12" t="s">
        <v>1239</v>
      </c>
      <c r="L164" s="12" t="s">
        <v>1107</v>
      </c>
      <c r="M164" s="12" t="s">
        <v>1240</v>
      </c>
      <c r="N164" s="13" t="b">
        <v>0</v>
      </c>
      <c r="O164" s="13" t="b">
        <v>0</v>
      </c>
      <c r="P164" s="13" t="b">
        <v>0</v>
      </c>
      <c r="Q164" s="12" t="s">
        <v>775</v>
      </c>
      <c r="R164" s="12" t="s">
        <v>1230</v>
      </c>
      <c r="S164" s="12" t="s">
        <v>1234</v>
      </c>
      <c r="T164" s="14"/>
      <c r="U164" s="14"/>
      <c r="V164" s="12"/>
      <c r="W164" s="12"/>
      <c r="X164" s="12"/>
      <c r="Y164" s="12"/>
      <c r="Z164" s="12"/>
      <c r="AA164" s="12"/>
      <c r="AB164" s="12"/>
      <c r="AC164" s="12"/>
    </row>
    <row r="165" ht="37.5" customHeight="1">
      <c r="A165" s="63" t="s">
        <v>122</v>
      </c>
      <c r="B165" s="63" t="s">
        <v>506</v>
      </c>
      <c r="C165" s="63" t="s">
        <v>1181</v>
      </c>
      <c r="D165" s="63" t="s">
        <v>505</v>
      </c>
      <c r="E165" s="63" t="s">
        <v>136</v>
      </c>
      <c r="F165" s="63" t="s">
        <v>1241</v>
      </c>
      <c r="G165" s="63" t="s">
        <v>1242</v>
      </c>
      <c r="H165" s="63" t="s">
        <v>1243</v>
      </c>
      <c r="I165" s="63" t="s">
        <v>1244</v>
      </c>
      <c r="J165" s="63" t="s">
        <v>1245</v>
      </c>
      <c r="K165" s="63" t="s">
        <v>507</v>
      </c>
      <c r="L165" s="63" t="s">
        <v>509</v>
      </c>
      <c r="M165" s="64" t="s">
        <v>508</v>
      </c>
      <c r="N165" s="65" t="b">
        <v>0</v>
      </c>
      <c r="O165" s="65" t="b">
        <v>0</v>
      </c>
      <c r="P165" s="65" t="b">
        <v>0</v>
      </c>
      <c r="Q165" s="63" t="s">
        <v>341</v>
      </c>
      <c r="R165" s="63" t="s">
        <v>1244</v>
      </c>
      <c r="S165" s="63" t="s">
        <v>510</v>
      </c>
      <c r="T165" s="67"/>
      <c r="U165" s="67"/>
      <c r="V165" s="63"/>
      <c r="W165" s="17"/>
      <c r="X165" s="17"/>
      <c r="Y165" s="17"/>
      <c r="Z165" s="17"/>
      <c r="AA165" s="17"/>
      <c r="AB165" s="17"/>
      <c r="AC165" s="17"/>
    </row>
    <row r="166" ht="37.5" customHeight="1">
      <c r="A166" s="58" t="s">
        <v>122</v>
      </c>
      <c r="B166" s="58" t="s">
        <v>1246</v>
      </c>
      <c r="C166" s="58" t="s">
        <v>1181</v>
      </c>
      <c r="D166" s="58" t="s">
        <v>505</v>
      </c>
      <c r="E166" s="58" t="s">
        <v>136</v>
      </c>
      <c r="F166" s="58" t="s">
        <v>1241</v>
      </c>
      <c r="G166" s="58" t="s">
        <v>1242</v>
      </c>
      <c r="H166" s="58" t="s">
        <v>1243</v>
      </c>
      <c r="I166" s="58" t="s">
        <v>1244</v>
      </c>
      <c r="J166" s="58" t="s">
        <v>1245</v>
      </c>
      <c r="K166" s="58" t="s">
        <v>1247</v>
      </c>
      <c r="L166" s="58" t="s">
        <v>1107</v>
      </c>
      <c r="M166" s="59" t="s">
        <v>1248</v>
      </c>
      <c r="N166" s="60" t="b">
        <v>0</v>
      </c>
      <c r="O166" s="60" t="b">
        <v>0</v>
      </c>
      <c r="P166" s="60" t="b">
        <v>0</v>
      </c>
      <c r="Q166" s="58" t="s">
        <v>775</v>
      </c>
      <c r="R166" s="58" t="s">
        <v>1244</v>
      </c>
      <c r="S166" s="58" t="s">
        <v>510</v>
      </c>
      <c r="T166" s="61"/>
      <c r="U166" s="61"/>
      <c r="V166" s="58"/>
      <c r="W166" s="12"/>
      <c r="X166" s="12"/>
      <c r="Y166" s="12"/>
      <c r="Z166" s="12"/>
      <c r="AA166" s="12"/>
      <c r="AB166" s="12"/>
      <c r="AC166" s="12"/>
    </row>
    <row r="167" ht="37.5" customHeight="1">
      <c r="A167" s="17" t="s">
        <v>122</v>
      </c>
      <c r="B167" s="17" t="s">
        <v>1249</v>
      </c>
      <c r="C167" s="17" t="s">
        <v>1181</v>
      </c>
      <c r="D167" s="17" t="s">
        <v>505</v>
      </c>
      <c r="E167" s="17" t="s">
        <v>136</v>
      </c>
      <c r="F167" s="17" t="s">
        <v>1241</v>
      </c>
      <c r="G167" s="17" t="s">
        <v>1242</v>
      </c>
      <c r="H167" s="17" t="s">
        <v>1243</v>
      </c>
      <c r="I167" s="17" t="s">
        <v>1244</v>
      </c>
      <c r="J167" s="17" t="s">
        <v>1245</v>
      </c>
      <c r="K167" s="17" t="s">
        <v>1250</v>
      </c>
      <c r="L167" s="17" t="s">
        <v>1251</v>
      </c>
      <c r="M167" s="17" t="s">
        <v>1252</v>
      </c>
      <c r="N167" s="18" t="b">
        <v>0</v>
      </c>
      <c r="O167" s="18" t="b">
        <v>0</v>
      </c>
      <c r="P167" s="18" t="b">
        <v>0</v>
      </c>
      <c r="Q167" s="17" t="s">
        <v>775</v>
      </c>
      <c r="R167" s="17" t="s">
        <v>1244</v>
      </c>
      <c r="S167" s="17" t="s">
        <v>510</v>
      </c>
      <c r="T167" s="19"/>
      <c r="U167" s="19"/>
      <c r="V167" s="17"/>
      <c r="W167" s="33"/>
      <c r="X167" s="33"/>
      <c r="Y167" s="33"/>
      <c r="Z167" s="33"/>
      <c r="AA167" s="33"/>
      <c r="AB167" s="33"/>
      <c r="AC167" s="33"/>
    </row>
    <row r="168" ht="37.5" customHeight="1">
      <c r="A168" s="12" t="s">
        <v>122</v>
      </c>
      <c r="B168" s="12" t="s">
        <v>1253</v>
      </c>
      <c r="C168" s="12" t="s">
        <v>1181</v>
      </c>
      <c r="D168" s="12" t="s">
        <v>1254</v>
      </c>
      <c r="E168" s="12" t="s">
        <v>31</v>
      </c>
      <c r="F168" s="12" t="s">
        <v>1255</v>
      </c>
      <c r="G168" s="12" t="s">
        <v>31</v>
      </c>
      <c r="H168" s="12" t="s">
        <v>1256</v>
      </c>
      <c r="I168" s="12" t="s">
        <v>1257</v>
      </c>
      <c r="J168" s="12" t="s">
        <v>1258</v>
      </c>
      <c r="K168" s="12" t="s">
        <v>1259</v>
      </c>
      <c r="L168" s="12" t="s">
        <v>866</v>
      </c>
      <c r="M168" s="54" t="s">
        <v>1260</v>
      </c>
      <c r="N168" s="13" t="b">
        <v>1</v>
      </c>
      <c r="O168" s="13" t="b">
        <v>0</v>
      </c>
      <c r="P168" s="13" t="b">
        <v>1</v>
      </c>
      <c r="Q168" s="12" t="s">
        <v>775</v>
      </c>
      <c r="R168" s="12" t="s">
        <v>1257</v>
      </c>
      <c r="S168" s="12" t="s">
        <v>1261</v>
      </c>
      <c r="T168" s="14"/>
      <c r="U168" s="14"/>
      <c r="V168" s="12"/>
      <c r="W168" s="15">
        <v>46235.0</v>
      </c>
      <c r="X168" s="15"/>
      <c r="Y168" s="15"/>
      <c r="Z168" s="15"/>
      <c r="AA168" s="15"/>
      <c r="AB168" s="15"/>
      <c r="AC168" s="15"/>
    </row>
    <row r="169" ht="37.5" customHeight="1">
      <c r="A169" s="17" t="s">
        <v>122</v>
      </c>
      <c r="B169" s="17" t="s">
        <v>1262</v>
      </c>
      <c r="C169" s="17" t="s">
        <v>1181</v>
      </c>
      <c r="D169" s="17" t="s">
        <v>1254</v>
      </c>
      <c r="E169" s="17" t="s">
        <v>31</v>
      </c>
      <c r="F169" s="17" t="s">
        <v>1255</v>
      </c>
      <c r="G169" s="17" t="s">
        <v>31</v>
      </c>
      <c r="H169" s="17" t="s">
        <v>1256</v>
      </c>
      <c r="I169" s="17" t="s">
        <v>1257</v>
      </c>
      <c r="J169" s="17" t="s">
        <v>1258</v>
      </c>
      <c r="K169" s="17" t="s">
        <v>1263</v>
      </c>
      <c r="L169" s="17" t="s">
        <v>1107</v>
      </c>
      <c r="M169" s="43" t="s">
        <v>1264</v>
      </c>
      <c r="N169" s="18" t="b">
        <v>1</v>
      </c>
      <c r="O169" s="18" t="b">
        <v>0</v>
      </c>
      <c r="P169" s="18" t="b">
        <v>0</v>
      </c>
      <c r="Q169" s="17" t="s">
        <v>775</v>
      </c>
      <c r="R169" s="17" t="s">
        <v>1257</v>
      </c>
      <c r="S169" s="17" t="s">
        <v>1261</v>
      </c>
      <c r="T169" s="19"/>
      <c r="U169" s="19"/>
      <c r="V169" s="17"/>
      <c r="W169" s="17"/>
      <c r="X169" s="17"/>
      <c r="Y169" s="17"/>
      <c r="Z169" s="17"/>
      <c r="AA169" s="17"/>
      <c r="AB169" s="17"/>
      <c r="AC169" s="17"/>
    </row>
    <row r="170" ht="37.5" customHeight="1">
      <c r="A170" s="12" t="s">
        <v>122</v>
      </c>
      <c r="B170" s="12" t="s">
        <v>1265</v>
      </c>
      <c r="C170" s="12" t="s">
        <v>1181</v>
      </c>
      <c r="D170" s="12" t="s">
        <v>1254</v>
      </c>
      <c r="E170" s="12" t="s">
        <v>31</v>
      </c>
      <c r="F170" s="12" t="s">
        <v>1255</v>
      </c>
      <c r="G170" s="12" t="s">
        <v>31</v>
      </c>
      <c r="H170" s="12" t="s">
        <v>1256</v>
      </c>
      <c r="I170" s="12" t="s">
        <v>1257</v>
      </c>
      <c r="J170" s="12" t="s">
        <v>1258</v>
      </c>
      <c r="K170" s="12" t="s">
        <v>1266</v>
      </c>
      <c r="L170" s="12" t="s">
        <v>1267</v>
      </c>
      <c r="M170" s="54" t="s">
        <v>1268</v>
      </c>
      <c r="N170" s="13" t="b">
        <v>0</v>
      </c>
      <c r="O170" s="13" t="b">
        <v>0</v>
      </c>
      <c r="P170" s="13" t="b">
        <v>0</v>
      </c>
      <c r="Q170" s="12" t="s">
        <v>775</v>
      </c>
      <c r="R170" s="12" t="s">
        <v>1257</v>
      </c>
      <c r="S170" s="12" t="s">
        <v>1261</v>
      </c>
      <c r="T170" s="14"/>
      <c r="U170" s="14"/>
      <c r="V170" s="12"/>
      <c r="W170" s="12"/>
      <c r="X170" s="12"/>
      <c r="Y170" s="12"/>
      <c r="Z170" s="12"/>
      <c r="AA170" s="12"/>
      <c r="AB170" s="12"/>
      <c r="AC170" s="12"/>
    </row>
    <row r="171" ht="37.5" customHeight="1">
      <c r="A171" s="17" t="s">
        <v>122</v>
      </c>
      <c r="B171" s="17" t="s">
        <v>1269</v>
      </c>
      <c r="C171" s="17" t="s">
        <v>617</v>
      </c>
      <c r="D171" s="17" t="s">
        <v>1270</v>
      </c>
      <c r="E171" s="17" t="s">
        <v>115</v>
      </c>
      <c r="F171" s="17" t="s">
        <v>1271</v>
      </c>
      <c r="G171" s="17" t="s">
        <v>1272</v>
      </c>
      <c r="H171" s="17" t="s">
        <v>1273</v>
      </c>
      <c r="I171" s="17" t="s">
        <v>1274</v>
      </c>
      <c r="J171" s="17" t="s">
        <v>539</v>
      </c>
      <c r="K171" s="17" t="s">
        <v>1275</v>
      </c>
      <c r="L171" s="17" t="s">
        <v>1276</v>
      </c>
      <c r="M171" s="17" t="s">
        <v>1277</v>
      </c>
      <c r="N171" s="18" t="b">
        <v>0</v>
      </c>
      <c r="O171" s="18" t="b">
        <v>0</v>
      </c>
      <c r="P171" s="18" t="b">
        <v>0</v>
      </c>
      <c r="Q171" s="17" t="s">
        <v>319</v>
      </c>
      <c r="R171" s="17" t="s">
        <v>1274</v>
      </c>
      <c r="S171" s="17" t="s">
        <v>1278</v>
      </c>
      <c r="T171" s="19"/>
      <c r="U171" s="19"/>
      <c r="V171" s="17"/>
      <c r="W171" s="17"/>
      <c r="X171" s="17"/>
      <c r="Y171" s="17"/>
      <c r="Z171" s="17"/>
      <c r="AA171" s="17"/>
      <c r="AB171" s="17"/>
      <c r="AC171" s="17"/>
    </row>
    <row r="172" ht="37.5" customHeight="1">
      <c r="A172" s="12" t="s">
        <v>122</v>
      </c>
      <c r="B172" s="12" t="s">
        <v>1279</v>
      </c>
      <c r="C172" s="12" t="s">
        <v>617</v>
      </c>
      <c r="D172" s="12" t="s">
        <v>1270</v>
      </c>
      <c r="E172" s="12" t="s">
        <v>115</v>
      </c>
      <c r="F172" s="12" t="s">
        <v>1271</v>
      </c>
      <c r="G172" s="12" t="s">
        <v>1272</v>
      </c>
      <c r="H172" s="12" t="s">
        <v>1273</v>
      </c>
      <c r="I172" s="12" t="s">
        <v>1274</v>
      </c>
      <c r="J172" s="12" t="s">
        <v>539</v>
      </c>
      <c r="K172" s="12" t="s">
        <v>1280</v>
      </c>
      <c r="L172" s="12" t="s">
        <v>1281</v>
      </c>
      <c r="M172" s="12" t="s">
        <v>1282</v>
      </c>
      <c r="N172" s="13" t="b">
        <v>0</v>
      </c>
      <c r="O172" s="13" t="b">
        <v>0</v>
      </c>
      <c r="P172" s="13" t="b">
        <v>0</v>
      </c>
      <c r="Q172" s="12" t="s">
        <v>319</v>
      </c>
      <c r="R172" s="12" t="s">
        <v>1274</v>
      </c>
      <c r="S172" s="12" t="s">
        <v>1278</v>
      </c>
      <c r="T172" s="14"/>
      <c r="U172" s="14"/>
      <c r="V172" s="12"/>
      <c r="W172" s="12"/>
      <c r="X172" s="12"/>
      <c r="Y172" s="12"/>
      <c r="Z172" s="12"/>
      <c r="AA172" s="12"/>
      <c r="AB172" s="12"/>
      <c r="AC172" s="12"/>
    </row>
    <row r="173" ht="37.5" customHeight="1">
      <c r="A173" s="17" t="s">
        <v>122</v>
      </c>
      <c r="B173" s="17" t="s">
        <v>1283</v>
      </c>
      <c r="C173" s="17" t="s">
        <v>617</v>
      </c>
      <c r="D173" s="17" t="s">
        <v>1270</v>
      </c>
      <c r="E173" s="17" t="s">
        <v>115</v>
      </c>
      <c r="F173" s="17" t="s">
        <v>1271</v>
      </c>
      <c r="G173" s="17" t="s">
        <v>1272</v>
      </c>
      <c r="H173" s="17" t="s">
        <v>1273</v>
      </c>
      <c r="I173" s="17" t="s">
        <v>1274</v>
      </c>
      <c r="J173" s="17" t="s">
        <v>539</v>
      </c>
      <c r="K173" s="17" t="s">
        <v>380</v>
      </c>
      <c r="L173" s="17" t="s">
        <v>1284</v>
      </c>
      <c r="M173" s="17" t="s">
        <v>1285</v>
      </c>
      <c r="N173" s="18" t="b">
        <v>0</v>
      </c>
      <c r="O173" s="18" t="b">
        <v>0</v>
      </c>
      <c r="P173" s="18" t="b">
        <v>0</v>
      </c>
      <c r="Q173" s="17" t="s">
        <v>319</v>
      </c>
      <c r="R173" s="17" t="s">
        <v>1274</v>
      </c>
      <c r="S173" s="17" t="s">
        <v>1278</v>
      </c>
      <c r="T173" s="19"/>
      <c r="U173" s="19"/>
      <c r="V173" s="17"/>
      <c r="W173" s="17"/>
      <c r="X173" s="17"/>
      <c r="Y173" s="17"/>
      <c r="Z173" s="17"/>
      <c r="AA173" s="17"/>
      <c r="AB173" s="17"/>
      <c r="AC173" s="17"/>
    </row>
    <row r="174" ht="37.5" customHeight="1">
      <c r="A174" s="12" t="s">
        <v>122</v>
      </c>
      <c r="B174" s="12" t="s">
        <v>1286</v>
      </c>
      <c r="C174" s="12" t="s">
        <v>617</v>
      </c>
      <c r="D174" s="12" t="s">
        <v>1287</v>
      </c>
      <c r="E174" s="12" t="s">
        <v>115</v>
      </c>
      <c r="F174" s="12" t="s">
        <v>1288</v>
      </c>
      <c r="G174" s="12" t="s">
        <v>622</v>
      </c>
      <c r="H174" s="12" t="s">
        <v>1289</v>
      </c>
      <c r="I174" s="12" t="s">
        <v>1290</v>
      </c>
      <c r="J174" s="12" t="s">
        <v>560</v>
      </c>
      <c r="K174" s="12" t="s">
        <v>436</v>
      </c>
      <c r="L174" s="12" t="s">
        <v>1171</v>
      </c>
      <c r="M174" s="12" t="s">
        <v>1291</v>
      </c>
      <c r="N174" s="13" t="b">
        <v>0</v>
      </c>
      <c r="O174" s="13" t="b">
        <v>0</v>
      </c>
      <c r="P174" s="13" t="b">
        <v>0</v>
      </c>
      <c r="Q174" s="12" t="s">
        <v>319</v>
      </c>
      <c r="R174" s="12" t="s">
        <v>1290</v>
      </c>
      <c r="S174" s="12" t="s">
        <v>1292</v>
      </c>
      <c r="T174" s="14"/>
      <c r="U174" s="14"/>
      <c r="V174" s="12"/>
      <c r="W174" s="12"/>
      <c r="X174" s="12"/>
      <c r="Y174" s="12"/>
      <c r="Z174" s="12"/>
      <c r="AA174" s="12"/>
      <c r="AB174" s="12"/>
      <c r="AC174" s="12"/>
    </row>
    <row r="175" ht="37.5" customHeight="1">
      <c r="A175" s="17" t="s">
        <v>122</v>
      </c>
      <c r="B175" s="17" t="s">
        <v>1293</v>
      </c>
      <c r="C175" s="17" t="s">
        <v>617</v>
      </c>
      <c r="D175" s="17" t="s">
        <v>1287</v>
      </c>
      <c r="E175" s="17" t="s">
        <v>115</v>
      </c>
      <c r="F175" s="17" t="s">
        <v>1288</v>
      </c>
      <c r="G175" s="17" t="s">
        <v>622</v>
      </c>
      <c r="H175" s="17" t="s">
        <v>1289</v>
      </c>
      <c r="I175" s="17" t="s">
        <v>1290</v>
      </c>
      <c r="J175" s="17" t="s">
        <v>560</v>
      </c>
      <c r="K175" s="17" t="s">
        <v>380</v>
      </c>
      <c r="L175" s="17" t="s">
        <v>1294</v>
      </c>
      <c r="M175" s="17" t="s">
        <v>1295</v>
      </c>
      <c r="N175" s="18" t="b">
        <v>0</v>
      </c>
      <c r="O175" s="18" t="b">
        <v>0</v>
      </c>
      <c r="P175" s="18" t="b">
        <v>0</v>
      </c>
      <c r="Q175" s="17" t="s">
        <v>319</v>
      </c>
      <c r="R175" s="17" t="s">
        <v>1290</v>
      </c>
      <c r="S175" s="17" t="s">
        <v>1292</v>
      </c>
      <c r="T175" s="19"/>
      <c r="U175" s="19"/>
      <c r="V175" s="17"/>
      <c r="W175" s="17"/>
      <c r="X175" s="17"/>
      <c r="Y175" s="17"/>
      <c r="Z175" s="17"/>
      <c r="AA175" s="17"/>
      <c r="AB175" s="17"/>
      <c r="AC175" s="17"/>
    </row>
    <row r="176" ht="37.5" customHeight="1">
      <c r="A176" s="12" t="s">
        <v>122</v>
      </c>
      <c r="B176" s="12" t="s">
        <v>1296</v>
      </c>
      <c r="C176" s="12" t="s">
        <v>617</v>
      </c>
      <c r="D176" s="12" t="s">
        <v>1287</v>
      </c>
      <c r="E176" s="12" t="s">
        <v>115</v>
      </c>
      <c r="F176" s="12" t="s">
        <v>1288</v>
      </c>
      <c r="G176" s="12" t="s">
        <v>622</v>
      </c>
      <c r="H176" s="12" t="s">
        <v>1289</v>
      </c>
      <c r="I176" s="12" t="s">
        <v>1290</v>
      </c>
      <c r="J176" s="12" t="s">
        <v>560</v>
      </c>
      <c r="K176" s="12" t="s">
        <v>380</v>
      </c>
      <c r="L176" s="12" t="s">
        <v>1297</v>
      </c>
      <c r="M176" s="12" t="s">
        <v>1298</v>
      </c>
      <c r="N176" s="13" t="b">
        <v>0</v>
      </c>
      <c r="O176" s="13" t="b">
        <v>0</v>
      </c>
      <c r="P176" s="13" t="b">
        <v>0</v>
      </c>
      <c r="Q176" s="12" t="s">
        <v>319</v>
      </c>
      <c r="R176" s="12" t="s">
        <v>1290</v>
      </c>
      <c r="S176" s="12" t="s">
        <v>1292</v>
      </c>
      <c r="T176" s="14"/>
      <c r="U176" s="14"/>
      <c r="V176" s="12"/>
      <c r="W176" s="12"/>
      <c r="X176" s="12"/>
      <c r="Y176" s="12"/>
      <c r="Z176" s="12"/>
      <c r="AA176" s="12"/>
      <c r="AB176" s="12"/>
      <c r="AC176" s="12"/>
    </row>
    <row r="177" ht="37.5" customHeight="1">
      <c r="A177" s="17" t="s">
        <v>122</v>
      </c>
      <c r="B177" s="17" t="s">
        <v>1299</v>
      </c>
      <c r="C177" s="17" t="s">
        <v>617</v>
      </c>
      <c r="D177" s="17" t="s">
        <v>1300</v>
      </c>
      <c r="E177" s="17" t="s">
        <v>115</v>
      </c>
      <c r="F177" s="17" t="s">
        <v>1301</v>
      </c>
      <c r="G177" s="17" t="s">
        <v>119</v>
      </c>
      <c r="H177" s="17" t="s">
        <v>1302</v>
      </c>
      <c r="I177" s="17" t="s">
        <v>1303</v>
      </c>
      <c r="J177" s="17" t="s">
        <v>539</v>
      </c>
      <c r="K177" s="17" t="s">
        <v>436</v>
      </c>
      <c r="L177" s="17" t="s">
        <v>1304</v>
      </c>
      <c r="M177" s="17" t="s">
        <v>1305</v>
      </c>
      <c r="N177" s="18" t="b">
        <v>0</v>
      </c>
      <c r="O177" s="18" t="b">
        <v>0</v>
      </c>
      <c r="P177" s="18" t="b">
        <v>0</v>
      </c>
      <c r="Q177" s="17" t="s">
        <v>319</v>
      </c>
      <c r="R177" s="17" t="s">
        <v>1303</v>
      </c>
      <c r="S177" s="17" t="s">
        <v>1306</v>
      </c>
      <c r="T177" s="19"/>
      <c r="U177" s="19"/>
      <c r="V177" s="17"/>
      <c r="W177" s="17"/>
      <c r="X177" s="17"/>
      <c r="Y177" s="17"/>
      <c r="Z177" s="17"/>
      <c r="AA177" s="17"/>
      <c r="AB177" s="17"/>
      <c r="AC177" s="17"/>
    </row>
    <row r="178" ht="37.5" customHeight="1">
      <c r="A178" s="12" t="s">
        <v>122</v>
      </c>
      <c r="B178" s="12" t="s">
        <v>1307</v>
      </c>
      <c r="C178" s="12" t="s">
        <v>617</v>
      </c>
      <c r="D178" s="12" t="s">
        <v>1300</v>
      </c>
      <c r="E178" s="12" t="s">
        <v>115</v>
      </c>
      <c r="F178" s="12" t="s">
        <v>1301</v>
      </c>
      <c r="G178" s="12" t="s">
        <v>119</v>
      </c>
      <c r="H178" s="12" t="s">
        <v>1302</v>
      </c>
      <c r="I178" s="12" t="s">
        <v>1303</v>
      </c>
      <c r="J178" s="12" t="s">
        <v>539</v>
      </c>
      <c r="K178" s="12" t="s">
        <v>436</v>
      </c>
      <c r="L178" s="12" t="s">
        <v>1308</v>
      </c>
      <c r="M178" s="12" t="s">
        <v>1309</v>
      </c>
      <c r="N178" s="13" t="b">
        <v>0</v>
      </c>
      <c r="O178" s="13" t="b">
        <v>0</v>
      </c>
      <c r="P178" s="13" t="b">
        <v>0</v>
      </c>
      <c r="Q178" s="12" t="s">
        <v>319</v>
      </c>
      <c r="R178" s="12" t="s">
        <v>1303</v>
      </c>
      <c r="S178" s="12" t="s">
        <v>1306</v>
      </c>
      <c r="T178" s="14"/>
      <c r="U178" s="14"/>
      <c r="V178" s="12"/>
      <c r="W178" s="12"/>
      <c r="X178" s="12"/>
      <c r="Y178" s="12"/>
      <c r="Z178" s="12"/>
      <c r="AA178" s="12"/>
      <c r="AB178" s="12"/>
      <c r="AC178" s="12"/>
    </row>
    <row r="179" ht="37.5" customHeight="1">
      <c r="A179" s="17" t="s">
        <v>122</v>
      </c>
      <c r="B179" s="17" t="s">
        <v>1310</v>
      </c>
      <c r="C179" s="17" t="s">
        <v>617</v>
      </c>
      <c r="D179" s="17" t="s">
        <v>1300</v>
      </c>
      <c r="E179" s="17" t="s">
        <v>115</v>
      </c>
      <c r="F179" s="17" t="s">
        <v>1301</v>
      </c>
      <c r="G179" s="17" t="s">
        <v>119</v>
      </c>
      <c r="H179" s="17" t="s">
        <v>1302</v>
      </c>
      <c r="I179" s="17" t="s">
        <v>1303</v>
      </c>
      <c r="J179" s="17" t="s">
        <v>539</v>
      </c>
      <c r="K179" s="17" t="s">
        <v>888</v>
      </c>
      <c r="L179" s="17" t="s">
        <v>1311</v>
      </c>
      <c r="M179" s="17" t="s">
        <v>1312</v>
      </c>
      <c r="N179" s="18" t="b">
        <v>0</v>
      </c>
      <c r="O179" s="18" t="b">
        <v>0</v>
      </c>
      <c r="P179" s="18" t="b">
        <v>0</v>
      </c>
      <c r="Q179" s="17" t="s">
        <v>319</v>
      </c>
      <c r="R179" s="17" t="s">
        <v>1303</v>
      </c>
      <c r="S179" s="17" t="s">
        <v>1306</v>
      </c>
      <c r="T179" s="19"/>
      <c r="U179" s="19"/>
      <c r="V179" s="17"/>
      <c r="W179" s="17"/>
      <c r="X179" s="17"/>
      <c r="Y179" s="17"/>
      <c r="Z179" s="17"/>
      <c r="AA179" s="17"/>
      <c r="AB179" s="17"/>
      <c r="AC179" s="17"/>
    </row>
    <row r="180" ht="37.5" customHeight="1">
      <c r="A180" s="12" t="s">
        <v>122</v>
      </c>
      <c r="B180" s="12" t="s">
        <v>1313</v>
      </c>
      <c r="C180" s="12" t="s">
        <v>617</v>
      </c>
      <c r="D180" s="12" t="s">
        <v>1314</v>
      </c>
      <c r="E180" s="12" t="s">
        <v>115</v>
      </c>
      <c r="F180" s="12" t="s">
        <v>1315</v>
      </c>
      <c r="G180" s="12" t="s">
        <v>622</v>
      </c>
      <c r="H180" s="12" t="s">
        <v>1316</v>
      </c>
      <c r="I180" s="12" t="s">
        <v>1317</v>
      </c>
      <c r="J180" s="12" t="s">
        <v>1201</v>
      </c>
      <c r="K180" s="12" t="s">
        <v>436</v>
      </c>
      <c r="L180" s="12" t="s">
        <v>1304</v>
      </c>
      <c r="M180" s="12" t="s">
        <v>1318</v>
      </c>
      <c r="N180" s="13" t="b">
        <v>0</v>
      </c>
      <c r="O180" s="13" t="b">
        <v>0</v>
      </c>
      <c r="P180" s="13" t="b">
        <v>0</v>
      </c>
      <c r="Q180" s="12" t="s">
        <v>319</v>
      </c>
      <c r="R180" s="12" t="s">
        <v>1317</v>
      </c>
      <c r="S180" s="12" t="s">
        <v>1319</v>
      </c>
      <c r="T180" s="14"/>
      <c r="U180" s="14"/>
      <c r="V180" s="12"/>
      <c r="W180" s="12"/>
      <c r="X180" s="12"/>
      <c r="Y180" s="12"/>
      <c r="Z180" s="12"/>
      <c r="AA180" s="12"/>
      <c r="AB180" s="12"/>
      <c r="AC180" s="12"/>
    </row>
    <row r="181" ht="37.5" customHeight="1">
      <c r="A181" s="17" t="s">
        <v>122</v>
      </c>
      <c r="B181" s="17" t="s">
        <v>1320</v>
      </c>
      <c r="C181" s="17" t="s">
        <v>617</v>
      </c>
      <c r="D181" s="17" t="s">
        <v>1314</v>
      </c>
      <c r="E181" s="17" t="s">
        <v>115</v>
      </c>
      <c r="F181" s="17" t="s">
        <v>1315</v>
      </c>
      <c r="G181" s="17" t="s">
        <v>622</v>
      </c>
      <c r="H181" s="17" t="s">
        <v>1316</v>
      </c>
      <c r="I181" s="17" t="s">
        <v>1317</v>
      </c>
      <c r="J181" s="17" t="s">
        <v>1201</v>
      </c>
      <c r="K181" s="17" t="s">
        <v>436</v>
      </c>
      <c r="L181" s="17" t="s">
        <v>1321</v>
      </c>
      <c r="M181" s="17" t="s">
        <v>1322</v>
      </c>
      <c r="N181" s="18" t="b">
        <v>0</v>
      </c>
      <c r="O181" s="18" t="b">
        <v>0</v>
      </c>
      <c r="P181" s="18" t="b">
        <v>0</v>
      </c>
      <c r="Q181" s="17" t="s">
        <v>319</v>
      </c>
      <c r="R181" s="17" t="s">
        <v>1317</v>
      </c>
      <c r="S181" s="17" t="s">
        <v>1319</v>
      </c>
      <c r="T181" s="19"/>
      <c r="U181" s="19"/>
      <c r="V181" s="17"/>
      <c r="W181" s="17"/>
      <c r="X181" s="17"/>
      <c r="Y181" s="17"/>
      <c r="Z181" s="17"/>
      <c r="AA181" s="17"/>
      <c r="AB181" s="17"/>
      <c r="AC181" s="17"/>
    </row>
    <row r="182" ht="37.5" customHeight="1">
      <c r="A182" s="12" t="s">
        <v>122</v>
      </c>
      <c r="B182" s="12" t="s">
        <v>1323</v>
      </c>
      <c r="C182" s="12" t="s">
        <v>617</v>
      </c>
      <c r="D182" s="12" t="s">
        <v>1314</v>
      </c>
      <c r="E182" s="12" t="s">
        <v>115</v>
      </c>
      <c r="F182" s="12" t="s">
        <v>1315</v>
      </c>
      <c r="G182" s="12" t="s">
        <v>622</v>
      </c>
      <c r="H182" s="12" t="s">
        <v>1316</v>
      </c>
      <c r="I182" s="12" t="s">
        <v>1317</v>
      </c>
      <c r="J182" s="12" t="s">
        <v>1201</v>
      </c>
      <c r="K182" s="12" t="s">
        <v>436</v>
      </c>
      <c r="L182" s="12" t="s">
        <v>962</v>
      </c>
      <c r="M182" s="12" t="s">
        <v>1324</v>
      </c>
      <c r="N182" s="13" t="b">
        <v>0</v>
      </c>
      <c r="O182" s="13" t="b">
        <v>0</v>
      </c>
      <c r="P182" s="13" t="b">
        <v>0</v>
      </c>
      <c r="Q182" s="12" t="s">
        <v>319</v>
      </c>
      <c r="R182" s="12" t="s">
        <v>1317</v>
      </c>
      <c r="S182" s="12" t="s">
        <v>1319</v>
      </c>
      <c r="T182" s="14"/>
      <c r="U182" s="14"/>
      <c r="V182" s="12"/>
      <c r="W182" s="12"/>
      <c r="X182" s="12"/>
      <c r="Y182" s="12"/>
      <c r="Z182" s="12"/>
      <c r="AA182" s="12"/>
      <c r="AB182" s="12"/>
      <c r="AC182" s="12"/>
    </row>
    <row r="183" ht="37.5" customHeight="1">
      <c r="A183" s="17" t="s">
        <v>122</v>
      </c>
      <c r="B183" s="17" t="s">
        <v>1325</v>
      </c>
      <c r="C183" s="17" t="s">
        <v>617</v>
      </c>
      <c r="D183" s="17" t="s">
        <v>1326</v>
      </c>
      <c r="E183" s="17" t="s">
        <v>92</v>
      </c>
      <c r="F183" s="17" t="s">
        <v>1327</v>
      </c>
      <c r="G183" s="17" t="s">
        <v>1328</v>
      </c>
      <c r="H183" s="17" t="s">
        <v>1329</v>
      </c>
      <c r="I183" s="17" t="s">
        <v>1330</v>
      </c>
      <c r="J183" s="17" t="s">
        <v>1331</v>
      </c>
      <c r="K183" s="17" t="s">
        <v>371</v>
      </c>
      <c r="L183" s="17" t="s">
        <v>1332</v>
      </c>
      <c r="M183" s="43" t="s">
        <v>1333</v>
      </c>
      <c r="N183" s="18" t="b">
        <v>1</v>
      </c>
      <c r="O183" s="18" t="b">
        <v>0</v>
      </c>
      <c r="P183" s="18" t="b">
        <v>0</v>
      </c>
      <c r="Q183" s="17" t="s">
        <v>319</v>
      </c>
      <c r="R183" s="17" t="s">
        <v>1330</v>
      </c>
      <c r="S183" s="17" t="s">
        <v>1334</v>
      </c>
      <c r="T183" s="19"/>
      <c r="U183" s="19"/>
      <c r="V183" s="17"/>
      <c r="W183" s="17"/>
      <c r="X183" s="17"/>
      <c r="Y183" s="17"/>
      <c r="Z183" s="17"/>
      <c r="AA183" s="17"/>
      <c r="AB183" s="17"/>
      <c r="AC183" s="17"/>
    </row>
    <row r="184" ht="37.5" customHeight="1">
      <c r="A184" s="12" t="s">
        <v>122</v>
      </c>
      <c r="B184" s="12" t="s">
        <v>1335</v>
      </c>
      <c r="C184" s="12" t="s">
        <v>617</v>
      </c>
      <c r="D184" s="12" t="s">
        <v>1326</v>
      </c>
      <c r="E184" s="12" t="s">
        <v>92</v>
      </c>
      <c r="F184" s="12" t="s">
        <v>1327</v>
      </c>
      <c r="G184" s="12" t="s">
        <v>1328</v>
      </c>
      <c r="H184" s="12" t="s">
        <v>1329</v>
      </c>
      <c r="I184" s="12" t="s">
        <v>1330</v>
      </c>
      <c r="J184" s="12" t="s">
        <v>1331</v>
      </c>
      <c r="K184" s="12" t="s">
        <v>1336</v>
      </c>
      <c r="L184" s="12" t="s">
        <v>1155</v>
      </c>
      <c r="M184" s="54" t="s">
        <v>1337</v>
      </c>
      <c r="N184" s="13" t="b">
        <v>1</v>
      </c>
      <c r="O184" s="13" t="b">
        <v>0</v>
      </c>
      <c r="P184" s="13" t="b">
        <v>0</v>
      </c>
      <c r="Q184" s="12" t="s">
        <v>319</v>
      </c>
      <c r="R184" s="12" t="s">
        <v>1330</v>
      </c>
      <c r="S184" s="12" t="s">
        <v>1334</v>
      </c>
      <c r="T184" s="14"/>
      <c r="U184" s="14"/>
      <c r="V184" s="12"/>
      <c r="W184" s="12"/>
      <c r="X184" s="12"/>
      <c r="Y184" s="12"/>
      <c r="Z184" s="12"/>
      <c r="AA184" s="12"/>
      <c r="AB184" s="12"/>
      <c r="AC184" s="12"/>
    </row>
    <row r="185" ht="37.5" customHeight="1">
      <c r="A185" s="17" t="s">
        <v>122</v>
      </c>
      <c r="B185" s="17" t="s">
        <v>1338</v>
      </c>
      <c r="C185" s="17" t="s">
        <v>617</v>
      </c>
      <c r="D185" s="17" t="s">
        <v>1326</v>
      </c>
      <c r="E185" s="17" t="s">
        <v>92</v>
      </c>
      <c r="F185" s="17" t="s">
        <v>1327</v>
      </c>
      <c r="G185" s="17" t="s">
        <v>1328</v>
      </c>
      <c r="H185" s="17" t="s">
        <v>1329</v>
      </c>
      <c r="I185" s="17" t="s">
        <v>1330</v>
      </c>
      <c r="J185" s="17" t="s">
        <v>1331</v>
      </c>
      <c r="K185" s="17" t="s">
        <v>1339</v>
      </c>
      <c r="L185" s="17" t="s">
        <v>1107</v>
      </c>
      <c r="M185" s="43" t="s">
        <v>1340</v>
      </c>
      <c r="N185" s="18" t="b">
        <v>1</v>
      </c>
      <c r="O185" s="18" t="b">
        <v>0</v>
      </c>
      <c r="P185" s="18" t="b">
        <v>0</v>
      </c>
      <c r="Q185" s="17" t="s">
        <v>775</v>
      </c>
      <c r="R185" s="17" t="s">
        <v>1330</v>
      </c>
      <c r="S185" s="17" t="s">
        <v>1334</v>
      </c>
      <c r="T185" s="19"/>
      <c r="U185" s="19"/>
      <c r="V185" s="17"/>
      <c r="W185" s="17"/>
      <c r="X185" s="17"/>
      <c r="Y185" s="17"/>
      <c r="Z185" s="17"/>
      <c r="AA185" s="17"/>
      <c r="AB185" s="17"/>
      <c r="AC185" s="17"/>
    </row>
    <row r="186" ht="37.5" customHeight="1">
      <c r="A186" s="12" t="s">
        <v>122</v>
      </c>
      <c r="B186" s="12" t="s">
        <v>1341</v>
      </c>
      <c r="C186" s="12" t="s">
        <v>617</v>
      </c>
      <c r="D186" s="12" t="s">
        <v>1342</v>
      </c>
      <c r="E186" s="12" t="s">
        <v>31</v>
      </c>
      <c r="F186" s="12" t="s">
        <v>1343</v>
      </c>
      <c r="G186" s="12" t="s">
        <v>643</v>
      </c>
      <c r="H186" s="12" t="s">
        <v>1344</v>
      </c>
      <c r="I186" s="12" t="s">
        <v>1345</v>
      </c>
      <c r="J186" s="12" t="s">
        <v>1346</v>
      </c>
      <c r="K186" s="12" t="s">
        <v>487</v>
      </c>
      <c r="L186" s="12" t="s">
        <v>1347</v>
      </c>
      <c r="M186" s="54" t="s">
        <v>1348</v>
      </c>
      <c r="N186" s="13" t="b">
        <v>1</v>
      </c>
      <c r="O186" s="13" t="b">
        <v>0</v>
      </c>
      <c r="P186" s="13" t="b">
        <v>1</v>
      </c>
      <c r="Q186" s="12" t="s">
        <v>319</v>
      </c>
      <c r="R186" s="12" t="s">
        <v>1345</v>
      </c>
      <c r="S186" s="12" t="s">
        <v>1349</v>
      </c>
      <c r="T186" s="14"/>
      <c r="U186" s="14"/>
      <c r="V186" s="12"/>
      <c r="W186" s="12"/>
      <c r="X186" s="12"/>
      <c r="Y186" s="12"/>
      <c r="Z186" s="12"/>
      <c r="AA186" s="12"/>
      <c r="AB186" s="12"/>
      <c r="AC186" s="12"/>
    </row>
    <row r="187" ht="37.5" customHeight="1">
      <c r="A187" s="17" t="s">
        <v>122</v>
      </c>
      <c r="B187" s="17" t="s">
        <v>1350</v>
      </c>
      <c r="C187" s="17" t="s">
        <v>617</v>
      </c>
      <c r="D187" s="17" t="s">
        <v>1342</v>
      </c>
      <c r="E187" s="17" t="s">
        <v>31</v>
      </c>
      <c r="F187" s="17" t="s">
        <v>1343</v>
      </c>
      <c r="G187" s="17" t="s">
        <v>643</v>
      </c>
      <c r="H187" s="17" t="s">
        <v>1344</v>
      </c>
      <c r="I187" s="17" t="s">
        <v>1345</v>
      </c>
      <c r="J187" s="17" t="s">
        <v>1346</v>
      </c>
      <c r="K187" s="17" t="s">
        <v>913</v>
      </c>
      <c r="L187" s="17" t="s">
        <v>1351</v>
      </c>
      <c r="M187" s="17" t="s">
        <v>1352</v>
      </c>
      <c r="N187" s="18" t="b">
        <v>0</v>
      </c>
      <c r="O187" s="18" t="b">
        <v>0</v>
      </c>
      <c r="P187" s="18" t="b">
        <v>0</v>
      </c>
      <c r="Q187" s="17" t="s">
        <v>341</v>
      </c>
      <c r="R187" s="17" t="s">
        <v>1345</v>
      </c>
      <c r="S187" s="17" t="s">
        <v>1349</v>
      </c>
      <c r="T187" s="19"/>
      <c r="U187" s="19"/>
      <c r="V187" s="17"/>
      <c r="W187" s="17"/>
      <c r="X187" s="17"/>
      <c r="Y187" s="17"/>
      <c r="Z187" s="17"/>
      <c r="AA187" s="17"/>
      <c r="AB187" s="17"/>
      <c r="AC187" s="17"/>
    </row>
    <row r="188" ht="37.5" customHeight="1">
      <c r="A188" s="12" t="s">
        <v>122</v>
      </c>
      <c r="B188" s="12" t="s">
        <v>1353</v>
      </c>
      <c r="C188" s="12" t="s">
        <v>617</v>
      </c>
      <c r="D188" s="12" t="s">
        <v>1342</v>
      </c>
      <c r="E188" s="12" t="s">
        <v>31</v>
      </c>
      <c r="F188" s="12" t="s">
        <v>1343</v>
      </c>
      <c r="G188" s="12" t="s">
        <v>643</v>
      </c>
      <c r="H188" s="12" t="s">
        <v>1344</v>
      </c>
      <c r="I188" s="12" t="s">
        <v>1345</v>
      </c>
      <c r="J188" s="12" t="s">
        <v>1346</v>
      </c>
      <c r="K188" s="12" t="s">
        <v>1354</v>
      </c>
      <c r="L188" s="12" t="s">
        <v>1251</v>
      </c>
      <c r="M188" s="12" t="s">
        <v>1355</v>
      </c>
      <c r="N188" s="13" t="b">
        <v>0</v>
      </c>
      <c r="O188" s="13" t="b">
        <v>0</v>
      </c>
      <c r="P188" s="13" t="b">
        <v>0</v>
      </c>
      <c r="Q188" s="12" t="s">
        <v>775</v>
      </c>
      <c r="R188" s="12" t="s">
        <v>1345</v>
      </c>
      <c r="S188" s="12" t="s">
        <v>1349</v>
      </c>
      <c r="T188" s="14"/>
      <c r="U188" s="14"/>
      <c r="V188" s="12"/>
      <c r="W188" s="12"/>
      <c r="X188" s="12"/>
      <c r="Y188" s="12"/>
      <c r="Z188" s="12"/>
      <c r="AA188" s="12"/>
      <c r="AB188" s="12"/>
      <c r="AC188" s="12"/>
    </row>
    <row r="189" ht="37.5" customHeight="1">
      <c r="A189" s="17" t="s">
        <v>122</v>
      </c>
      <c r="B189" s="17" t="s">
        <v>1356</v>
      </c>
      <c r="C189" s="17" t="s">
        <v>1357</v>
      </c>
      <c r="D189" s="17" t="s">
        <v>1358</v>
      </c>
      <c r="E189" s="17" t="s">
        <v>121</v>
      </c>
      <c r="F189" s="17" t="s">
        <v>1359</v>
      </c>
      <c r="G189" s="17" t="s">
        <v>1360</v>
      </c>
      <c r="H189" s="17" t="s">
        <v>1361</v>
      </c>
      <c r="I189" s="17" t="s">
        <v>1362</v>
      </c>
      <c r="J189" s="17" t="s">
        <v>1363</v>
      </c>
      <c r="K189" s="17" t="s">
        <v>371</v>
      </c>
      <c r="L189" s="17" t="s">
        <v>1364</v>
      </c>
      <c r="M189" s="17" t="s">
        <v>1365</v>
      </c>
      <c r="N189" s="18" t="b">
        <v>0</v>
      </c>
      <c r="O189" s="18" t="b">
        <v>0</v>
      </c>
      <c r="P189" s="18" t="b">
        <v>0</v>
      </c>
      <c r="Q189" s="17" t="s">
        <v>319</v>
      </c>
      <c r="R189" s="17" t="s">
        <v>1362</v>
      </c>
      <c r="S189" s="17" t="s">
        <v>1366</v>
      </c>
      <c r="T189" s="19"/>
      <c r="U189" s="19"/>
      <c r="V189" s="17"/>
      <c r="W189" s="17"/>
      <c r="X189" s="17"/>
      <c r="Y189" s="17"/>
      <c r="Z189" s="17"/>
      <c r="AA189" s="17"/>
      <c r="AB189" s="17"/>
      <c r="AC189" s="17"/>
    </row>
    <row r="190" ht="37.5" customHeight="1">
      <c r="A190" s="12" t="s">
        <v>122</v>
      </c>
      <c r="B190" s="12" t="s">
        <v>1367</v>
      </c>
      <c r="C190" s="12" t="s">
        <v>1357</v>
      </c>
      <c r="D190" s="12" t="s">
        <v>1358</v>
      </c>
      <c r="E190" s="12" t="s">
        <v>121</v>
      </c>
      <c r="F190" s="12" t="s">
        <v>1359</v>
      </c>
      <c r="G190" s="12" t="s">
        <v>1360</v>
      </c>
      <c r="H190" s="12" t="s">
        <v>1361</v>
      </c>
      <c r="I190" s="12" t="s">
        <v>1362</v>
      </c>
      <c r="J190" s="12" t="s">
        <v>1363</v>
      </c>
      <c r="K190" s="12" t="s">
        <v>1368</v>
      </c>
      <c r="L190" s="12" t="s">
        <v>1369</v>
      </c>
      <c r="M190" s="12" t="s">
        <v>1370</v>
      </c>
      <c r="N190" s="13" t="b">
        <v>0</v>
      </c>
      <c r="O190" s="13" t="b">
        <v>0</v>
      </c>
      <c r="P190" s="13" t="b">
        <v>0</v>
      </c>
      <c r="Q190" s="12" t="s">
        <v>341</v>
      </c>
      <c r="R190" s="12" t="s">
        <v>1362</v>
      </c>
      <c r="S190" s="12" t="s">
        <v>1366</v>
      </c>
      <c r="T190" s="14"/>
      <c r="U190" s="14"/>
      <c r="V190" s="12"/>
      <c r="W190" s="12"/>
      <c r="X190" s="12"/>
      <c r="Y190" s="12"/>
      <c r="Z190" s="12"/>
      <c r="AA190" s="12"/>
      <c r="AB190" s="12"/>
      <c r="AC190" s="12"/>
    </row>
    <row r="191" ht="37.5" customHeight="1">
      <c r="A191" s="17" t="s">
        <v>122</v>
      </c>
      <c r="B191" s="17" t="s">
        <v>1371</v>
      </c>
      <c r="C191" s="17" t="s">
        <v>1357</v>
      </c>
      <c r="D191" s="17" t="s">
        <v>1358</v>
      </c>
      <c r="E191" s="17" t="s">
        <v>121</v>
      </c>
      <c r="F191" s="17" t="s">
        <v>1359</v>
      </c>
      <c r="G191" s="17" t="s">
        <v>1360</v>
      </c>
      <c r="H191" s="17" t="s">
        <v>1361</v>
      </c>
      <c r="I191" s="17" t="s">
        <v>1362</v>
      </c>
      <c r="J191" s="17" t="s">
        <v>1363</v>
      </c>
      <c r="K191" s="17" t="s">
        <v>1372</v>
      </c>
      <c r="L191" s="17" t="s">
        <v>1373</v>
      </c>
      <c r="M191" s="17" t="s">
        <v>1374</v>
      </c>
      <c r="N191" s="18" t="b">
        <v>0</v>
      </c>
      <c r="O191" s="18" t="b">
        <v>0</v>
      </c>
      <c r="P191" s="18" t="b">
        <v>0</v>
      </c>
      <c r="Q191" s="17" t="s">
        <v>775</v>
      </c>
      <c r="R191" s="17" t="s">
        <v>1362</v>
      </c>
      <c r="S191" s="17" t="s">
        <v>1366</v>
      </c>
      <c r="T191" s="19"/>
      <c r="U191" s="19"/>
      <c r="V191" s="17"/>
      <c r="W191" s="17"/>
      <c r="X191" s="17"/>
      <c r="Y191" s="17"/>
      <c r="Z191" s="17"/>
      <c r="AA191" s="17"/>
      <c r="AB191" s="17"/>
      <c r="AC191" s="17"/>
    </row>
    <row r="192" ht="37.5" customHeight="1">
      <c r="A192" s="12" t="s">
        <v>122</v>
      </c>
      <c r="B192" s="12" t="s">
        <v>1375</v>
      </c>
      <c r="C192" s="12" t="s">
        <v>1357</v>
      </c>
      <c r="D192" s="12" t="s">
        <v>1376</v>
      </c>
      <c r="E192" s="12" t="s">
        <v>121</v>
      </c>
      <c r="F192" s="12" t="s">
        <v>1377</v>
      </c>
      <c r="G192" s="12" t="s">
        <v>1378</v>
      </c>
      <c r="H192" s="12" t="s">
        <v>1379</v>
      </c>
      <c r="I192" s="12" t="s">
        <v>1380</v>
      </c>
      <c r="J192" s="12" t="s">
        <v>1381</v>
      </c>
      <c r="K192" s="12" t="s">
        <v>1382</v>
      </c>
      <c r="L192" s="12" t="s">
        <v>1383</v>
      </c>
      <c r="M192" s="12" t="s">
        <v>1384</v>
      </c>
      <c r="N192" s="13" t="b">
        <v>0</v>
      </c>
      <c r="O192" s="13" t="b">
        <v>0</v>
      </c>
      <c r="P192" s="13" t="b">
        <v>0</v>
      </c>
      <c r="Q192" s="12" t="s">
        <v>775</v>
      </c>
      <c r="R192" s="12" t="s">
        <v>1380</v>
      </c>
      <c r="S192" s="12" t="s">
        <v>1385</v>
      </c>
      <c r="T192" s="14"/>
      <c r="U192" s="14"/>
      <c r="V192" s="12"/>
      <c r="W192" s="12"/>
      <c r="X192" s="12"/>
      <c r="Y192" s="12"/>
      <c r="Z192" s="12"/>
      <c r="AA192" s="12"/>
      <c r="AB192" s="12"/>
      <c r="AC192" s="12"/>
    </row>
    <row r="193" ht="37.5" customHeight="1">
      <c r="A193" s="17" t="s">
        <v>122</v>
      </c>
      <c r="B193" s="17" t="s">
        <v>1386</v>
      </c>
      <c r="C193" s="17" t="s">
        <v>1357</v>
      </c>
      <c r="D193" s="17" t="s">
        <v>1376</v>
      </c>
      <c r="E193" s="17" t="s">
        <v>121</v>
      </c>
      <c r="F193" s="17" t="s">
        <v>1377</v>
      </c>
      <c r="G193" s="17" t="s">
        <v>1378</v>
      </c>
      <c r="H193" s="17" t="s">
        <v>1379</v>
      </c>
      <c r="I193" s="17" t="s">
        <v>1380</v>
      </c>
      <c r="J193" s="17" t="s">
        <v>1381</v>
      </c>
      <c r="K193" s="17" t="s">
        <v>494</v>
      </c>
      <c r="L193" s="17" t="s">
        <v>1387</v>
      </c>
      <c r="M193" s="17" t="s">
        <v>1388</v>
      </c>
      <c r="N193" s="18" t="b">
        <v>0</v>
      </c>
      <c r="O193" s="18" t="b">
        <v>0</v>
      </c>
      <c r="P193" s="18" t="b">
        <v>0</v>
      </c>
      <c r="Q193" s="17" t="s">
        <v>319</v>
      </c>
      <c r="R193" s="17" t="s">
        <v>1380</v>
      </c>
      <c r="S193" s="17" t="s">
        <v>1385</v>
      </c>
      <c r="T193" s="19"/>
      <c r="U193" s="19"/>
      <c r="V193" s="17"/>
      <c r="W193" s="17"/>
      <c r="X193" s="17"/>
      <c r="Y193" s="17"/>
      <c r="Z193" s="17"/>
      <c r="AA193" s="17"/>
      <c r="AB193" s="17"/>
      <c r="AC193" s="17"/>
    </row>
    <row r="194" ht="37.5" customHeight="1">
      <c r="A194" s="12" t="s">
        <v>122</v>
      </c>
      <c r="B194" s="12" t="s">
        <v>1389</v>
      </c>
      <c r="C194" s="12" t="s">
        <v>1357</v>
      </c>
      <c r="D194" s="12" t="s">
        <v>1376</v>
      </c>
      <c r="E194" s="12" t="s">
        <v>121</v>
      </c>
      <c r="F194" s="12" t="s">
        <v>1377</v>
      </c>
      <c r="G194" s="12" t="s">
        <v>1378</v>
      </c>
      <c r="H194" s="12" t="s">
        <v>1379</v>
      </c>
      <c r="I194" s="12" t="s">
        <v>1380</v>
      </c>
      <c r="J194" s="12" t="s">
        <v>1381</v>
      </c>
      <c r="K194" s="12" t="s">
        <v>1390</v>
      </c>
      <c r="L194" s="12" t="s">
        <v>1391</v>
      </c>
      <c r="M194" s="12" t="s">
        <v>1392</v>
      </c>
      <c r="N194" s="13" t="b">
        <v>0</v>
      </c>
      <c r="O194" s="13" t="b">
        <v>0</v>
      </c>
      <c r="P194" s="13" t="b">
        <v>0</v>
      </c>
      <c r="Q194" s="12" t="s">
        <v>775</v>
      </c>
      <c r="R194" s="12" t="s">
        <v>1380</v>
      </c>
      <c r="S194" s="12" t="s">
        <v>1385</v>
      </c>
      <c r="T194" s="14"/>
      <c r="U194" s="14"/>
      <c r="V194" s="12"/>
      <c r="W194" s="12"/>
      <c r="X194" s="12"/>
      <c r="Y194" s="12"/>
      <c r="Z194" s="12"/>
      <c r="AA194" s="12"/>
      <c r="AB194" s="12"/>
      <c r="AC194" s="12"/>
    </row>
    <row r="195" ht="37.5" customHeight="1">
      <c r="A195" s="17" t="s">
        <v>122</v>
      </c>
      <c r="B195" s="17" t="s">
        <v>1393</v>
      </c>
      <c r="C195" s="17" t="s">
        <v>1357</v>
      </c>
      <c r="D195" s="17" t="s">
        <v>1394</v>
      </c>
      <c r="E195" s="17" t="s">
        <v>121</v>
      </c>
      <c r="F195" s="17" t="s">
        <v>1395</v>
      </c>
      <c r="G195" s="17" t="s">
        <v>1396</v>
      </c>
      <c r="H195" s="17" t="s">
        <v>1397</v>
      </c>
      <c r="I195" s="17" t="s">
        <v>1398</v>
      </c>
      <c r="J195" s="17" t="s">
        <v>1399</v>
      </c>
      <c r="K195" s="17" t="s">
        <v>494</v>
      </c>
      <c r="L195" s="17" t="s">
        <v>1400</v>
      </c>
      <c r="M195" s="17" t="s">
        <v>1401</v>
      </c>
      <c r="N195" s="18" t="b">
        <v>0</v>
      </c>
      <c r="O195" s="18" t="b">
        <v>0</v>
      </c>
      <c r="P195" s="18" t="b">
        <v>0</v>
      </c>
      <c r="Q195" s="17" t="s">
        <v>319</v>
      </c>
      <c r="R195" s="17" t="s">
        <v>1398</v>
      </c>
      <c r="S195" s="17" t="s">
        <v>1402</v>
      </c>
      <c r="T195" s="19"/>
      <c r="U195" s="19"/>
      <c r="V195" s="17"/>
      <c r="W195" s="17"/>
      <c r="X195" s="17"/>
      <c r="Y195" s="17"/>
      <c r="Z195" s="17"/>
      <c r="AA195" s="17"/>
      <c r="AB195" s="17"/>
      <c r="AC195" s="17"/>
    </row>
    <row r="196" ht="37.5" customHeight="1">
      <c r="A196" s="12" t="s">
        <v>122</v>
      </c>
      <c r="B196" s="12" t="s">
        <v>1403</v>
      </c>
      <c r="C196" s="12" t="s">
        <v>1357</v>
      </c>
      <c r="D196" s="12" t="s">
        <v>1394</v>
      </c>
      <c r="E196" s="12" t="s">
        <v>121</v>
      </c>
      <c r="F196" s="12" t="s">
        <v>1395</v>
      </c>
      <c r="G196" s="12" t="s">
        <v>1396</v>
      </c>
      <c r="H196" s="12" t="s">
        <v>1397</v>
      </c>
      <c r="I196" s="12" t="s">
        <v>1398</v>
      </c>
      <c r="J196" s="12" t="s">
        <v>1399</v>
      </c>
      <c r="K196" s="12" t="s">
        <v>1404</v>
      </c>
      <c r="L196" s="12" t="s">
        <v>1405</v>
      </c>
      <c r="M196" s="12" t="s">
        <v>1406</v>
      </c>
      <c r="N196" s="13" t="b">
        <v>0</v>
      </c>
      <c r="O196" s="13" t="b">
        <v>0</v>
      </c>
      <c r="P196" s="13" t="b">
        <v>0</v>
      </c>
      <c r="Q196" s="12" t="s">
        <v>319</v>
      </c>
      <c r="R196" s="12" t="s">
        <v>1398</v>
      </c>
      <c r="S196" s="12" t="s">
        <v>1402</v>
      </c>
      <c r="T196" s="14"/>
      <c r="U196" s="14"/>
      <c r="V196" s="12"/>
      <c r="W196" s="12"/>
      <c r="X196" s="12"/>
      <c r="Y196" s="12"/>
      <c r="Z196" s="12"/>
      <c r="AA196" s="12"/>
      <c r="AB196" s="12"/>
      <c r="AC196" s="12"/>
    </row>
    <row r="197" ht="37.5" customHeight="1">
      <c r="A197" s="17" t="s">
        <v>122</v>
      </c>
      <c r="B197" s="17" t="s">
        <v>1407</v>
      </c>
      <c r="C197" s="17" t="s">
        <v>1357</v>
      </c>
      <c r="D197" s="17" t="s">
        <v>1394</v>
      </c>
      <c r="E197" s="17" t="s">
        <v>121</v>
      </c>
      <c r="F197" s="17" t="s">
        <v>1395</v>
      </c>
      <c r="G197" s="17" t="s">
        <v>1396</v>
      </c>
      <c r="H197" s="17" t="s">
        <v>1397</v>
      </c>
      <c r="I197" s="17" t="s">
        <v>1398</v>
      </c>
      <c r="J197" s="17" t="s">
        <v>1399</v>
      </c>
      <c r="K197" s="17" t="s">
        <v>1372</v>
      </c>
      <c r="L197" s="17" t="s">
        <v>1251</v>
      </c>
      <c r="M197" s="17" t="s">
        <v>1408</v>
      </c>
      <c r="N197" s="18" t="b">
        <v>0</v>
      </c>
      <c r="O197" s="18" t="b">
        <v>0</v>
      </c>
      <c r="P197" s="18" t="b">
        <v>0</v>
      </c>
      <c r="Q197" s="17" t="s">
        <v>775</v>
      </c>
      <c r="R197" s="17" t="s">
        <v>1398</v>
      </c>
      <c r="S197" s="17" t="s">
        <v>1402</v>
      </c>
      <c r="T197" s="19"/>
      <c r="U197" s="19"/>
      <c r="V197" s="17"/>
      <c r="W197" s="17"/>
      <c r="X197" s="17"/>
      <c r="Y197" s="17"/>
      <c r="Z197" s="17"/>
      <c r="AA197" s="17"/>
      <c r="AB197" s="17"/>
      <c r="AC197" s="17"/>
    </row>
    <row r="198" ht="37.5" customHeight="1">
      <c r="A198" s="12" t="s">
        <v>122</v>
      </c>
      <c r="B198" s="12" t="s">
        <v>1409</v>
      </c>
      <c r="C198" s="12" t="s">
        <v>1357</v>
      </c>
      <c r="D198" s="12" t="s">
        <v>1410</v>
      </c>
      <c r="E198" s="12" t="s">
        <v>137</v>
      </c>
      <c r="F198" s="12" t="s">
        <v>1411</v>
      </c>
      <c r="G198" s="12" t="s">
        <v>1412</v>
      </c>
      <c r="H198" s="12" t="s">
        <v>1413</v>
      </c>
      <c r="I198" s="12" t="s">
        <v>1414</v>
      </c>
      <c r="J198" s="12" t="s">
        <v>1415</v>
      </c>
      <c r="K198" s="12" t="s">
        <v>1416</v>
      </c>
      <c r="L198" s="12" t="s">
        <v>1417</v>
      </c>
      <c r="M198" s="12" t="s">
        <v>1418</v>
      </c>
      <c r="N198" s="13" t="b">
        <v>0</v>
      </c>
      <c r="O198" s="13" t="b">
        <v>0</v>
      </c>
      <c r="P198" s="13" t="b">
        <v>0</v>
      </c>
      <c r="Q198" s="12" t="s">
        <v>319</v>
      </c>
      <c r="R198" s="12" t="s">
        <v>1414</v>
      </c>
      <c r="S198" s="12" t="s">
        <v>1419</v>
      </c>
      <c r="T198" s="14"/>
      <c r="U198" s="14"/>
      <c r="V198" s="12"/>
      <c r="W198" s="12"/>
      <c r="X198" s="12"/>
      <c r="Y198" s="12"/>
      <c r="Z198" s="12"/>
      <c r="AA198" s="12"/>
      <c r="AB198" s="12"/>
      <c r="AC198" s="12"/>
    </row>
    <row r="199" ht="37.5" customHeight="1">
      <c r="A199" s="17" t="s">
        <v>122</v>
      </c>
      <c r="B199" s="17" t="s">
        <v>1420</v>
      </c>
      <c r="C199" s="17" t="s">
        <v>1357</v>
      </c>
      <c r="D199" s="17" t="s">
        <v>1410</v>
      </c>
      <c r="E199" s="17" t="s">
        <v>137</v>
      </c>
      <c r="F199" s="17" t="s">
        <v>1411</v>
      </c>
      <c r="G199" s="17" t="s">
        <v>1412</v>
      </c>
      <c r="H199" s="17" t="s">
        <v>1413</v>
      </c>
      <c r="I199" s="17" t="s">
        <v>1414</v>
      </c>
      <c r="J199" s="17" t="s">
        <v>1415</v>
      </c>
      <c r="K199" s="17" t="s">
        <v>1421</v>
      </c>
      <c r="L199" s="17" t="s">
        <v>1422</v>
      </c>
      <c r="M199" s="17" t="s">
        <v>1423</v>
      </c>
      <c r="N199" s="18" t="b">
        <v>0</v>
      </c>
      <c r="O199" s="18" t="b">
        <v>0</v>
      </c>
      <c r="P199" s="18" t="b">
        <v>0</v>
      </c>
      <c r="Q199" s="17" t="s">
        <v>775</v>
      </c>
      <c r="R199" s="17" t="s">
        <v>1414</v>
      </c>
      <c r="S199" s="17" t="s">
        <v>1419</v>
      </c>
      <c r="T199" s="19"/>
      <c r="U199" s="19"/>
      <c r="V199" s="17"/>
      <c r="W199" s="17"/>
      <c r="X199" s="17"/>
      <c r="Y199" s="17"/>
      <c r="Z199" s="17"/>
      <c r="AA199" s="17"/>
      <c r="AB199" s="17"/>
      <c r="AC199" s="17"/>
    </row>
    <row r="200" ht="37.5" customHeight="1">
      <c r="A200" s="12" t="s">
        <v>122</v>
      </c>
      <c r="B200" s="12" t="s">
        <v>1424</v>
      </c>
      <c r="C200" s="12" t="s">
        <v>1357</v>
      </c>
      <c r="D200" s="12" t="s">
        <v>1410</v>
      </c>
      <c r="E200" s="12" t="s">
        <v>137</v>
      </c>
      <c r="F200" s="12" t="s">
        <v>1411</v>
      </c>
      <c r="G200" s="12" t="s">
        <v>1412</v>
      </c>
      <c r="H200" s="12" t="s">
        <v>1413</v>
      </c>
      <c r="I200" s="12" t="s">
        <v>1414</v>
      </c>
      <c r="J200" s="12" t="s">
        <v>1415</v>
      </c>
      <c r="K200" s="12" t="s">
        <v>1425</v>
      </c>
      <c r="L200" s="12" t="s">
        <v>1426</v>
      </c>
      <c r="M200" s="12" t="s">
        <v>1427</v>
      </c>
      <c r="N200" s="13" t="b">
        <v>0</v>
      </c>
      <c r="O200" s="13" t="b">
        <v>0</v>
      </c>
      <c r="P200" s="13" t="b">
        <v>0</v>
      </c>
      <c r="Q200" s="12" t="s">
        <v>775</v>
      </c>
      <c r="R200" s="12" t="s">
        <v>1414</v>
      </c>
      <c r="S200" s="12" t="s">
        <v>1419</v>
      </c>
      <c r="T200" s="14"/>
      <c r="U200" s="14"/>
      <c r="V200" s="12"/>
      <c r="W200" s="12"/>
      <c r="X200" s="12"/>
      <c r="Y200" s="12"/>
      <c r="Z200" s="12"/>
      <c r="AA200" s="12"/>
      <c r="AB200" s="12"/>
      <c r="AC200" s="12"/>
    </row>
    <row r="201" ht="37.5" customHeight="1">
      <c r="A201" s="17" t="s">
        <v>122</v>
      </c>
      <c r="B201" s="17" t="s">
        <v>512</v>
      </c>
      <c r="C201" s="17" t="s">
        <v>1357</v>
      </c>
      <c r="D201" s="17" t="s">
        <v>511</v>
      </c>
      <c r="E201" s="17" t="s">
        <v>31</v>
      </c>
      <c r="F201" s="17" t="s">
        <v>1428</v>
      </c>
      <c r="G201" s="17" t="s">
        <v>31</v>
      </c>
      <c r="H201" s="17" t="s">
        <v>1429</v>
      </c>
      <c r="I201" s="17" t="s">
        <v>1430</v>
      </c>
      <c r="J201" s="17" t="s">
        <v>1431</v>
      </c>
      <c r="K201" s="17" t="s">
        <v>513</v>
      </c>
      <c r="L201" s="17" t="s">
        <v>515</v>
      </c>
      <c r="M201" s="17" t="s">
        <v>514</v>
      </c>
      <c r="N201" s="18" t="b">
        <v>0</v>
      </c>
      <c r="O201" s="18" t="b">
        <v>0</v>
      </c>
      <c r="P201" s="18" t="b">
        <v>0</v>
      </c>
      <c r="Q201" s="17" t="s">
        <v>319</v>
      </c>
      <c r="R201" s="17" t="s">
        <v>1430</v>
      </c>
      <c r="S201" s="17" t="s">
        <v>516</v>
      </c>
      <c r="T201" s="19"/>
      <c r="U201" s="19"/>
      <c r="V201" s="17"/>
      <c r="W201" s="17"/>
      <c r="X201" s="17"/>
      <c r="Y201" s="17"/>
      <c r="Z201" s="17"/>
      <c r="AA201" s="17"/>
      <c r="AB201" s="17"/>
      <c r="AC201" s="17"/>
    </row>
    <row r="202" ht="37.5" customHeight="1">
      <c r="A202" s="12" t="s">
        <v>122</v>
      </c>
      <c r="B202" s="12" t="s">
        <v>1432</v>
      </c>
      <c r="C202" s="12" t="s">
        <v>1357</v>
      </c>
      <c r="D202" s="12" t="s">
        <v>511</v>
      </c>
      <c r="E202" s="12" t="s">
        <v>31</v>
      </c>
      <c r="F202" s="12" t="s">
        <v>1428</v>
      </c>
      <c r="G202" s="12" t="s">
        <v>31</v>
      </c>
      <c r="H202" s="12" t="s">
        <v>1429</v>
      </c>
      <c r="I202" s="12" t="s">
        <v>1430</v>
      </c>
      <c r="J202" s="12" t="s">
        <v>1431</v>
      </c>
      <c r="K202" s="12" t="s">
        <v>1336</v>
      </c>
      <c r="L202" s="12" t="s">
        <v>1155</v>
      </c>
      <c r="M202" s="12" t="s">
        <v>1433</v>
      </c>
      <c r="N202" s="13" t="b">
        <v>0</v>
      </c>
      <c r="O202" s="13" t="b">
        <v>0</v>
      </c>
      <c r="P202" s="13" t="b">
        <v>0</v>
      </c>
      <c r="Q202" s="12" t="s">
        <v>341</v>
      </c>
      <c r="R202" s="12" t="s">
        <v>1430</v>
      </c>
      <c r="S202" s="12" t="s">
        <v>516</v>
      </c>
      <c r="T202" s="14"/>
      <c r="U202" s="14"/>
      <c r="V202" s="12"/>
      <c r="W202" s="12"/>
      <c r="X202" s="12"/>
      <c r="Y202" s="12"/>
      <c r="Z202" s="12"/>
      <c r="AA202" s="12"/>
      <c r="AB202" s="12"/>
      <c r="AC202" s="12"/>
    </row>
    <row r="203" ht="37.5" customHeight="1">
      <c r="A203" s="17" t="s">
        <v>122</v>
      </c>
      <c r="B203" s="17" t="s">
        <v>1434</v>
      </c>
      <c r="C203" s="17" t="s">
        <v>1357</v>
      </c>
      <c r="D203" s="17" t="s">
        <v>511</v>
      </c>
      <c r="E203" s="17" t="s">
        <v>31</v>
      </c>
      <c r="F203" s="17" t="s">
        <v>1428</v>
      </c>
      <c r="G203" s="17" t="s">
        <v>31</v>
      </c>
      <c r="H203" s="17" t="s">
        <v>1429</v>
      </c>
      <c r="I203" s="17" t="s">
        <v>1430</v>
      </c>
      <c r="J203" s="17" t="s">
        <v>1431</v>
      </c>
      <c r="K203" s="17" t="s">
        <v>1266</v>
      </c>
      <c r="L203" s="17" t="s">
        <v>1435</v>
      </c>
      <c r="M203" s="17" t="s">
        <v>1436</v>
      </c>
      <c r="N203" s="18" t="b">
        <v>0</v>
      </c>
      <c r="O203" s="18" t="b">
        <v>0</v>
      </c>
      <c r="P203" s="18" t="b">
        <v>0</v>
      </c>
      <c r="Q203" s="17" t="s">
        <v>775</v>
      </c>
      <c r="R203" s="17" t="s">
        <v>1430</v>
      </c>
      <c r="S203" s="17" t="s">
        <v>516</v>
      </c>
      <c r="T203" s="19"/>
      <c r="U203" s="19"/>
      <c r="V203" s="17"/>
      <c r="W203" s="17"/>
      <c r="X203" s="17"/>
      <c r="Y203" s="17"/>
      <c r="Z203" s="17"/>
      <c r="AA203" s="17"/>
      <c r="AB203" s="17"/>
      <c r="AC203" s="17"/>
    </row>
    <row r="204" ht="37.5" customHeight="1">
      <c r="A204" s="12" t="s">
        <v>122</v>
      </c>
      <c r="B204" s="12" t="s">
        <v>475</v>
      </c>
      <c r="C204" s="12" t="s">
        <v>1357</v>
      </c>
      <c r="D204" s="12" t="s">
        <v>474</v>
      </c>
      <c r="E204" s="12" t="s">
        <v>141</v>
      </c>
      <c r="F204" s="12" t="s">
        <v>1437</v>
      </c>
      <c r="G204" s="12" t="s">
        <v>1438</v>
      </c>
      <c r="H204" s="12" t="s">
        <v>1439</v>
      </c>
      <c r="I204" s="12" t="s">
        <v>1440</v>
      </c>
      <c r="J204" s="12" t="s">
        <v>1441</v>
      </c>
      <c r="K204" s="12" t="s">
        <v>476</v>
      </c>
      <c r="L204" s="12" t="s">
        <v>478</v>
      </c>
      <c r="M204" s="54" t="s">
        <v>477</v>
      </c>
      <c r="N204" s="13" t="b">
        <v>1</v>
      </c>
      <c r="O204" s="13" t="b">
        <v>0</v>
      </c>
      <c r="P204" s="13" t="b">
        <v>0</v>
      </c>
      <c r="Q204" s="12" t="s">
        <v>319</v>
      </c>
      <c r="R204" s="12" t="s">
        <v>1440</v>
      </c>
      <c r="S204" s="12" t="s">
        <v>479</v>
      </c>
      <c r="T204" s="14"/>
      <c r="U204" s="14"/>
      <c r="V204" s="12"/>
      <c r="W204" s="12"/>
      <c r="X204" s="12"/>
      <c r="Y204" s="12"/>
      <c r="Z204" s="12"/>
      <c r="AA204" s="12"/>
      <c r="AB204" s="12"/>
      <c r="AC204" s="12"/>
    </row>
    <row r="205" ht="37.5" customHeight="1">
      <c r="A205" s="17" t="s">
        <v>122</v>
      </c>
      <c r="B205" s="17" t="s">
        <v>1442</v>
      </c>
      <c r="C205" s="17" t="s">
        <v>1357</v>
      </c>
      <c r="D205" s="17" t="s">
        <v>474</v>
      </c>
      <c r="E205" s="17" t="s">
        <v>141</v>
      </c>
      <c r="F205" s="17" t="s">
        <v>1437</v>
      </c>
      <c r="G205" s="17" t="s">
        <v>1438</v>
      </c>
      <c r="H205" s="17" t="s">
        <v>1439</v>
      </c>
      <c r="I205" s="17" t="s">
        <v>1440</v>
      </c>
      <c r="J205" s="17" t="s">
        <v>1441</v>
      </c>
      <c r="K205" s="17" t="s">
        <v>1443</v>
      </c>
      <c r="L205" s="17" t="s">
        <v>1444</v>
      </c>
      <c r="M205" s="43" t="s">
        <v>1445</v>
      </c>
      <c r="N205" s="18" t="b">
        <v>1</v>
      </c>
      <c r="O205" s="18" t="b">
        <v>0</v>
      </c>
      <c r="P205" s="18" t="b">
        <v>0</v>
      </c>
      <c r="Q205" s="17" t="s">
        <v>319</v>
      </c>
      <c r="R205" s="17" t="s">
        <v>1440</v>
      </c>
      <c r="S205" s="17" t="s">
        <v>479</v>
      </c>
      <c r="T205" s="19"/>
      <c r="U205" s="19"/>
      <c r="V205" s="17"/>
      <c r="W205" s="17"/>
      <c r="X205" s="17"/>
      <c r="Y205" s="17"/>
      <c r="Z205" s="17"/>
      <c r="AA205" s="17"/>
      <c r="AB205" s="17"/>
      <c r="AC205" s="17"/>
    </row>
    <row r="206" ht="37.5" customHeight="1">
      <c r="A206" s="12" t="s">
        <v>122</v>
      </c>
      <c r="B206" s="12" t="s">
        <v>1446</v>
      </c>
      <c r="C206" s="16" t="s">
        <v>1357</v>
      </c>
      <c r="D206" s="12" t="s">
        <v>474</v>
      </c>
      <c r="E206" s="12" t="s">
        <v>141</v>
      </c>
      <c r="F206" s="12" t="s">
        <v>1437</v>
      </c>
      <c r="G206" s="12" t="s">
        <v>1438</v>
      </c>
      <c r="H206" s="12" t="s">
        <v>1439</v>
      </c>
      <c r="I206" s="12" t="s">
        <v>1440</v>
      </c>
      <c r="J206" s="12" t="s">
        <v>1441</v>
      </c>
      <c r="K206" s="12" t="s">
        <v>1447</v>
      </c>
      <c r="L206" s="12" t="s">
        <v>1281</v>
      </c>
      <c r="M206" s="56" t="s">
        <v>1448</v>
      </c>
      <c r="N206" s="16" t="b">
        <v>0</v>
      </c>
      <c r="O206" s="13" t="b">
        <v>0</v>
      </c>
      <c r="P206" s="13" t="b">
        <v>0</v>
      </c>
      <c r="Q206" s="13" t="s">
        <v>319</v>
      </c>
      <c r="R206" s="12" t="s">
        <v>1440</v>
      </c>
      <c r="S206" s="12" t="s">
        <v>479</v>
      </c>
      <c r="T206" s="12"/>
      <c r="U206" s="14"/>
      <c r="V206" s="12"/>
      <c r="W206" s="12"/>
      <c r="X206" s="12"/>
      <c r="Y206" s="12"/>
      <c r="Z206" s="12"/>
      <c r="AA206" s="12"/>
      <c r="AB206" s="12"/>
      <c r="AC206" s="12"/>
    </row>
    <row r="207" ht="37.5" customHeight="1">
      <c r="A207" s="17" t="s">
        <v>122</v>
      </c>
      <c r="B207" s="17" t="s">
        <v>1449</v>
      </c>
      <c r="C207" s="17" t="s">
        <v>1357</v>
      </c>
      <c r="D207" s="17" t="s">
        <v>1450</v>
      </c>
      <c r="E207" s="17" t="s">
        <v>31</v>
      </c>
      <c r="F207" s="17" t="s">
        <v>1451</v>
      </c>
      <c r="G207" s="17" t="s">
        <v>1452</v>
      </c>
      <c r="H207" s="17" t="s">
        <v>1453</v>
      </c>
      <c r="I207" s="17" t="s">
        <v>1454</v>
      </c>
      <c r="J207" s="17" t="s">
        <v>1455</v>
      </c>
      <c r="K207" s="17" t="s">
        <v>494</v>
      </c>
      <c r="L207" s="17" t="s">
        <v>996</v>
      </c>
      <c r="M207" s="17" t="s">
        <v>1456</v>
      </c>
      <c r="N207" s="18" t="b">
        <v>0</v>
      </c>
      <c r="O207" s="18" t="b">
        <v>0</v>
      </c>
      <c r="P207" s="18" t="b">
        <v>0</v>
      </c>
      <c r="Q207" s="17" t="s">
        <v>319</v>
      </c>
      <c r="R207" s="17" t="s">
        <v>1454</v>
      </c>
      <c r="S207" s="17" t="s">
        <v>1457</v>
      </c>
      <c r="T207" s="19"/>
      <c r="U207" s="19"/>
      <c r="V207" s="17"/>
      <c r="W207" s="17"/>
      <c r="X207" s="17"/>
      <c r="Y207" s="17"/>
      <c r="Z207" s="17"/>
      <c r="AA207" s="17"/>
      <c r="AB207" s="17"/>
      <c r="AC207" s="17"/>
    </row>
    <row r="208" ht="37.5" customHeight="1">
      <c r="A208" s="12" t="s">
        <v>122</v>
      </c>
      <c r="B208" s="12" t="s">
        <v>1458</v>
      </c>
      <c r="C208" s="12" t="s">
        <v>1357</v>
      </c>
      <c r="D208" s="12" t="s">
        <v>1450</v>
      </c>
      <c r="E208" s="12" t="s">
        <v>31</v>
      </c>
      <c r="F208" s="12" t="s">
        <v>1451</v>
      </c>
      <c r="G208" s="12" t="s">
        <v>1452</v>
      </c>
      <c r="H208" s="12" t="s">
        <v>1453</v>
      </c>
      <c r="I208" s="12" t="s">
        <v>1454</v>
      </c>
      <c r="J208" s="12" t="s">
        <v>1455</v>
      </c>
      <c r="K208" s="12" t="s">
        <v>1459</v>
      </c>
      <c r="L208" s="12" t="s">
        <v>1460</v>
      </c>
      <c r="M208" s="12" t="s">
        <v>1461</v>
      </c>
      <c r="N208" s="13" t="b">
        <v>0</v>
      </c>
      <c r="O208" s="13" t="b">
        <v>0</v>
      </c>
      <c r="P208" s="13" t="b">
        <v>0</v>
      </c>
      <c r="Q208" s="12" t="s">
        <v>319</v>
      </c>
      <c r="R208" s="12" t="s">
        <v>1454</v>
      </c>
      <c r="S208" s="12" t="s">
        <v>1457</v>
      </c>
      <c r="T208" s="14"/>
      <c r="U208" s="14"/>
      <c r="V208" s="12"/>
      <c r="W208" s="12"/>
      <c r="X208" s="12"/>
      <c r="Y208" s="12"/>
      <c r="Z208" s="12"/>
      <c r="AA208" s="12"/>
      <c r="AB208" s="12"/>
      <c r="AC208" s="12"/>
    </row>
    <row r="209" ht="37.5" customHeight="1">
      <c r="A209" s="17" t="s">
        <v>122</v>
      </c>
      <c r="B209" s="17" t="s">
        <v>1462</v>
      </c>
      <c r="C209" s="17" t="s">
        <v>1357</v>
      </c>
      <c r="D209" s="17" t="s">
        <v>1450</v>
      </c>
      <c r="E209" s="17" t="s">
        <v>31</v>
      </c>
      <c r="F209" s="17" t="s">
        <v>1451</v>
      </c>
      <c r="G209" s="17" t="s">
        <v>1452</v>
      </c>
      <c r="H209" s="17" t="s">
        <v>1453</v>
      </c>
      <c r="I209" s="17" t="s">
        <v>1454</v>
      </c>
      <c r="J209" s="17" t="s">
        <v>1455</v>
      </c>
      <c r="K209" s="17" t="s">
        <v>1463</v>
      </c>
      <c r="L209" s="17" t="s">
        <v>1464</v>
      </c>
      <c r="M209" s="17" t="s">
        <v>1465</v>
      </c>
      <c r="N209" s="18" t="b">
        <v>0</v>
      </c>
      <c r="O209" s="18" t="b">
        <v>0</v>
      </c>
      <c r="P209" s="18" t="b">
        <v>0</v>
      </c>
      <c r="Q209" s="17" t="s">
        <v>775</v>
      </c>
      <c r="R209" s="17" t="s">
        <v>1454</v>
      </c>
      <c r="S209" s="17" t="s">
        <v>1457</v>
      </c>
      <c r="T209" s="19"/>
      <c r="U209" s="19"/>
      <c r="V209" s="17"/>
      <c r="W209" s="17"/>
      <c r="X209" s="17"/>
      <c r="Y209" s="17"/>
      <c r="Z209" s="17"/>
      <c r="AA209" s="17"/>
      <c r="AB209" s="17"/>
      <c r="AC209" s="17"/>
    </row>
    <row r="210" ht="37.5" customHeight="1">
      <c r="A210" s="12" t="s">
        <v>122</v>
      </c>
      <c r="B210" s="12" t="s">
        <v>1466</v>
      </c>
      <c r="C210" s="12" t="s">
        <v>780</v>
      </c>
      <c r="D210" s="12" t="s">
        <v>1467</v>
      </c>
      <c r="E210" s="12" t="s">
        <v>115</v>
      </c>
      <c r="F210" s="12" t="s">
        <v>1468</v>
      </c>
      <c r="G210" s="12" t="s">
        <v>119</v>
      </c>
      <c r="H210" s="12" t="s">
        <v>1469</v>
      </c>
      <c r="I210" s="12" t="s">
        <v>1470</v>
      </c>
      <c r="J210" s="12" t="s">
        <v>539</v>
      </c>
      <c r="K210" s="12" t="s">
        <v>436</v>
      </c>
      <c r="L210" s="12" t="s">
        <v>1471</v>
      </c>
      <c r="M210" s="12" t="s">
        <v>1472</v>
      </c>
      <c r="N210" s="13" t="b">
        <v>0</v>
      </c>
      <c r="O210" s="13" t="b">
        <v>0</v>
      </c>
      <c r="P210" s="13" t="b">
        <v>0</v>
      </c>
      <c r="Q210" s="12" t="s">
        <v>319</v>
      </c>
      <c r="R210" s="12" t="s">
        <v>1470</v>
      </c>
      <c r="S210" s="12" t="s">
        <v>1473</v>
      </c>
      <c r="T210" s="14"/>
      <c r="U210" s="14"/>
      <c r="V210" s="12"/>
      <c r="W210" s="12"/>
      <c r="X210" s="12"/>
      <c r="Y210" s="12"/>
      <c r="Z210" s="12"/>
      <c r="AA210" s="12"/>
      <c r="AB210" s="12"/>
      <c r="AC210" s="12"/>
    </row>
    <row r="211" ht="37.5" customHeight="1">
      <c r="A211" s="17" t="s">
        <v>122</v>
      </c>
      <c r="B211" s="17" t="s">
        <v>1474</v>
      </c>
      <c r="C211" s="17" t="s">
        <v>780</v>
      </c>
      <c r="D211" s="17" t="s">
        <v>1467</v>
      </c>
      <c r="E211" s="17" t="s">
        <v>115</v>
      </c>
      <c r="F211" s="17" t="s">
        <v>1468</v>
      </c>
      <c r="G211" s="17" t="s">
        <v>119</v>
      </c>
      <c r="H211" s="17" t="s">
        <v>1469</v>
      </c>
      <c r="I211" s="17" t="s">
        <v>1470</v>
      </c>
      <c r="J211" s="17" t="s">
        <v>539</v>
      </c>
      <c r="K211" s="17" t="s">
        <v>436</v>
      </c>
      <c r="L211" s="17" t="s">
        <v>1475</v>
      </c>
      <c r="M211" s="43" t="s">
        <v>1476</v>
      </c>
      <c r="N211" s="18" t="b">
        <v>0</v>
      </c>
      <c r="O211" s="18" t="b">
        <v>0</v>
      </c>
      <c r="P211" s="18" t="b">
        <v>0</v>
      </c>
      <c r="Q211" s="17" t="s">
        <v>319</v>
      </c>
      <c r="R211" s="17" t="s">
        <v>1470</v>
      </c>
      <c r="S211" s="17" t="s">
        <v>1473</v>
      </c>
      <c r="T211" s="19"/>
      <c r="U211" s="19"/>
      <c r="V211" s="17"/>
      <c r="W211" s="17"/>
      <c r="X211" s="17"/>
      <c r="Y211" s="17"/>
      <c r="Z211" s="17"/>
      <c r="AA211" s="17"/>
      <c r="AB211" s="17"/>
      <c r="AC211" s="17"/>
    </row>
    <row r="212" ht="37.5" customHeight="1">
      <c r="A212" s="12" t="s">
        <v>122</v>
      </c>
      <c r="B212" s="12" t="s">
        <v>1477</v>
      </c>
      <c r="C212" s="12" t="s">
        <v>780</v>
      </c>
      <c r="D212" s="12" t="s">
        <v>1467</v>
      </c>
      <c r="E212" s="12" t="s">
        <v>115</v>
      </c>
      <c r="F212" s="12" t="s">
        <v>1468</v>
      </c>
      <c r="G212" s="12" t="s">
        <v>119</v>
      </c>
      <c r="H212" s="12" t="s">
        <v>1469</v>
      </c>
      <c r="I212" s="12" t="s">
        <v>1470</v>
      </c>
      <c r="J212" s="12" t="s">
        <v>539</v>
      </c>
      <c r="K212" s="12" t="s">
        <v>888</v>
      </c>
      <c r="L212" s="12" t="s">
        <v>1478</v>
      </c>
      <c r="M212" s="68" t="s">
        <v>1479</v>
      </c>
      <c r="N212" s="13" t="b">
        <v>0</v>
      </c>
      <c r="O212" s="13" t="b">
        <v>0</v>
      </c>
      <c r="P212" s="13" t="b">
        <v>0</v>
      </c>
      <c r="Q212" s="12" t="s">
        <v>319</v>
      </c>
      <c r="R212" s="12" t="s">
        <v>1470</v>
      </c>
      <c r="S212" s="12" t="s">
        <v>1473</v>
      </c>
      <c r="T212" s="14"/>
      <c r="U212" s="14"/>
      <c r="V212" s="12"/>
      <c r="W212" s="12"/>
      <c r="X212" s="12"/>
      <c r="Y212" s="12"/>
      <c r="Z212" s="12"/>
      <c r="AA212" s="12"/>
      <c r="AB212" s="12"/>
      <c r="AC212" s="12"/>
    </row>
    <row r="213" ht="37.5" customHeight="1">
      <c r="A213" s="17" t="s">
        <v>122</v>
      </c>
      <c r="B213" s="17" t="s">
        <v>1480</v>
      </c>
      <c r="C213" s="17" t="s">
        <v>780</v>
      </c>
      <c r="D213" s="17" t="s">
        <v>781</v>
      </c>
      <c r="E213" s="17" t="s">
        <v>115</v>
      </c>
      <c r="F213" s="17" t="s">
        <v>782</v>
      </c>
      <c r="G213" s="17" t="s">
        <v>119</v>
      </c>
      <c r="H213" s="17" t="s">
        <v>783</v>
      </c>
      <c r="I213" s="17" t="s">
        <v>784</v>
      </c>
      <c r="J213" s="17" t="s">
        <v>539</v>
      </c>
      <c r="K213" s="17" t="s">
        <v>436</v>
      </c>
      <c r="L213" s="17" t="s">
        <v>1481</v>
      </c>
      <c r="M213" s="43" t="s">
        <v>1482</v>
      </c>
      <c r="N213" s="18" t="b">
        <v>1</v>
      </c>
      <c r="O213" s="18" t="b">
        <v>0</v>
      </c>
      <c r="P213" s="18" t="b">
        <v>0</v>
      </c>
      <c r="Q213" s="17" t="s">
        <v>319</v>
      </c>
      <c r="R213" s="17" t="s">
        <v>784</v>
      </c>
      <c r="S213" s="17" t="s">
        <v>787</v>
      </c>
      <c r="T213" s="19"/>
      <c r="U213" s="19"/>
      <c r="V213" s="17"/>
      <c r="W213" s="17"/>
      <c r="X213" s="17"/>
      <c r="Y213" s="17"/>
      <c r="Z213" s="17"/>
      <c r="AA213" s="17"/>
      <c r="AB213" s="17"/>
      <c r="AC213" s="17"/>
    </row>
    <row r="214" ht="37.5" customHeight="1">
      <c r="A214" s="12" t="s">
        <v>122</v>
      </c>
      <c r="B214" s="12" t="s">
        <v>1483</v>
      </c>
      <c r="C214" s="12" t="s">
        <v>780</v>
      </c>
      <c r="D214" s="12" t="s">
        <v>781</v>
      </c>
      <c r="E214" s="12" t="s">
        <v>115</v>
      </c>
      <c r="F214" s="12" t="s">
        <v>782</v>
      </c>
      <c r="G214" s="12" t="s">
        <v>119</v>
      </c>
      <c r="H214" s="12" t="s">
        <v>783</v>
      </c>
      <c r="I214" s="12" t="s">
        <v>784</v>
      </c>
      <c r="J214" s="12" t="s">
        <v>539</v>
      </c>
      <c r="K214" s="12" t="s">
        <v>380</v>
      </c>
      <c r="L214" s="12" t="s">
        <v>1484</v>
      </c>
      <c r="M214" s="54" t="s">
        <v>1485</v>
      </c>
      <c r="N214" s="13" t="b">
        <v>1</v>
      </c>
      <c r="O214" s="13" t="b">
        <v>0</v>
      </c>
      <c r="P214" s="13" t="b">
        <v>1</v>
      </c>
      <c r="Q214" s="12" t="s">
        <v>319</v>
      </c>
      <c r="R214" s="12" t="s">
        <v>784</v>
      </c>
      <c r="S214" s="12" t="s">
        <v>787</v>
      </c>
      <c r="T214" s="14"/>
      <c r="U214" s="14"/>
      <c r="V214" s="12"/>
      <c r="W214" s="12"/>
      <c r="X214" s="12"/>
      <c r="Y214" s="12"/>
      <c r="Z214" s="12"/>
      <c r="AA214" s="12"/>
      <c r="AB214" s="12"/>
      <c r="AC214" s="12"/>
    </row>
    <row r="215" ht="37.5" customHeight="1">
      <c r="A215" s="17" t="s">
        <v>122</v>
      </c>
      <c r="B215" s="17" t="s">
        <v>1486</v>
      </c>
      <c r="C215" s="17" t="s">
        <v>780</v>
      </c>
      <c r="D215" s="17" t="s">
        <v>1487</v>
      </c>
      <c r="E215" s="17" t="s">
        <v>115</v>
      </c>
      <c r="F215" s="17" t="s">
        <v>1488</v>
      </c>
      <c r="G215" s="17" t="s">
        <v>119</v>
      </c>
      <c r="H215" s="17" t="s">
        <v>1489</v>
      </c>
      <c r="I215" s="17" t="s">
        <v>1490</v>
      </c>
      <c r="J215" s="17" t="s">
        <v>539</v>
      </c>
      <c r="K215" s="17" t="s">
        <v>400</v>
      </c>
      <c r="L215" s="17" t="s">
        <v>1491</v>
      </c>
      <c r="M215" s="43" t="s">
        <v>1492</v>
      </c>
      <c r="N215" s="18" t="b">
        <v>1</v>
      </c>
      <c r="O215" s="18" t="b">
        <v>0</v>
      </c>
      <c r="P215" s="18" t="b">
        <v>0</v>
      </c>
      <c r="Q215" s="17" t="s">
        <v>319</v>
      </c>
      <c r="R215" s="17" t="s">
        <v>1490</v>
      </c>
      <c r="S215" s="17" t="s">
        <v>1493</v>
      </c>
      <c r="T215" s="19"/>
      <c r="U215" s="19"/>
      <c r="V215" s="17"/>
      <c r="W215" s="17"/>
      <c r="X215" s="17"/>
      <c r="Y215" s="17"/>
      <c r="Z215" s="17"/>
      <c r="AA215" s="17"/>
      <c r="AB215" s="17"/>
      <c r="AC215" s="17"/>
    </row>
    <row r="216" ht="37.5" customHeight="1">
      <c r="A216" s="12" t="s">
        <v>122</v>
      </c>
      <c r="B216" s="12" t="s">
        <v>1494</v>
      </c>
      <c r="C216" s="12" t="s">
        <v>780</v>
      </c>
      <c r="D216" s="12" t="s">
        <v>1487</v>
      </c>
      <c r="E216" s="12" t="s">
        <v>115</v>
      </c>
      <c r="F216" s="12" t="s">
        <v>1488</v>
      </c>
      <c r="G216" s="12" t="s">
        <v>119</v>
      </c>
      <c r="H216" s="12" t="s">
        <v>1489</v>
      </c>
      <c r="I216" s="12" t="s">
        <v>1490</v>
      </c>
      <c r="J216" s="12" t="s">
        <v>539</v>
      </c>
      <c r="K216" s="12" t="s">
        <v>380</v>
      </c>
      <c r="L216" s="12" t="s">
        <v>1495</v>
      </c>
      <c r="M216" s="54" t="s">
        <v>1496</v>
      </c>
      <c r="N216" s="13" t="b">
        <v>1</v>
      </c>
      <c r="O216" s="13" t="b">
        <v>0</v>
      </c>
      <c r="P216" s="13" t="b">
        <v>0</v>
      </c>
      <c r="Q216" s="12" t="s">
        <v>319</v>
      </c>
      <c r="R216" s="12" t="s">
        <v>1490</v>
      </c>
      <c r="S216" s="12" t="s">
        <v>1493</v>
      </c>
      <c r="T216" s="14"/>
      <c r="U216" s="14"/>
      <c r="V216" s="12"/>
      <c r="W216" s="12"/>
      <c r="X216" s="12"/>
      <c r="Y216" s="12"/>
      <c r="Z216" s="12"/>
      <c r="AA216" s="12"/>
      <c r="AB216" s="12"/>
      <c r="AC216" s="12"/>
    </row>
    <row r="217" ht="37.5" customHeight="1">
      <c r="A217" s="17" t="s">
        <v>122</v>
      </c>
      <c r="B217" s="17" t="s">
        <v>1497</v>
      </c>
      <c r="C217" s="17" t="s">
        <v>780</v>
      </c>
      <c r="D217" s="17" t="s">
        <v>1498</v>
      </c>
      <c r="E217" s="17" t="s">
        <v>115</v>
      </c>
      <c r="F217" s="17" t="s">
        <v>1499</v>
      </c>
      <c r="G217" s="17" t="s">
        <v>119</v>
      </c>
      <c r="H217" s="17" t="s">
        <v>1500</v>
      </c>
      <c r="I217" s="17" t="s">
        <v>1501</v>
      </c>
      <c r="J217" s="17" t="s">
        <v>539</v>
      </c>
      <c r="K217" s="17" t="s">
        <v>400</v>
      </c>
      <c r="L217" s="17" t="s">
        <v>1502</v>
      </c>
      <c r="M217" s="43" t="s">
        <v>1503</v>
      </c>
      <c r="N217" s="18" t="b">
        <v>1</v>
      </c>
      <c r="O217" s="18" t="b">
        <v>0</v>
      </c>
      <c r="P217" s="18" t="b">
        <v>0</v>
      </c>
      <c r="Q217" s="17" t="s">
        <v>319</v>
      </c>
      <c r="R217" s="17" t="s">
        <v>1501</v>
      </c>
      <c r="S217" s="17" t="s">
        <v>1504</v>
      </c>
      <c r="T217" s="19"/>
      <c r="U217" s="19"/>
      <c r="V217" s="17"/>
      <c r="W217" s="17"/>
      <c r="X217" s="17"/>
      <c r="Y217" s="17"/>
      <c r="Z217" s="17"/>
      <c r="AA217" s="17"/>
      <c r="AB217" s="17"/>
      <c r="AC217" s="17"/>
    </row>
    <row r="218" ht="37.5" customHeight="1">
      <c r="A218" s="12" t="s">
        <v>122</v>
      </c>
      <c r="B218" s="12" t="s">
        <v>1505</v>
      </c>
      <c r="C218" s="12" t="s">
        <v>780</v>
      </c>
      <c r="D218" s="12" t="s">
        <v>1498</v>
      </c>
      <c r="E218" s="12" t="s">
        <v>115</v>
      </c>
      <c r="F218" s="12" t="s">
        <v>1499</v>
      </c>
      <c r="G218" s="12" t="s">
        <v>119</v>
      </c>
      <c r="H218" s="12" t="s">
        <v>1500</v>
      </c>
      <c r="I218" s="12" t="s">
        <v>1501</v>
      </c>
      <c r="J218" s="12" t="s">
        <v>539</v>
      </c>
      <c r="K218" s="12" t="s">
        <v>888</v>
      </c>
      <c r="L218" s="12" t="s">
        <v>1506</v>
      </c>
      <c r="M218" s="54" t="s">
        <v>1507</v>
      </c>
      <c r="N218" s="13" t="b">
        <v>1</v>
      </c>
      <c r="O218" s="13" t="b">
        <v>0</v>
      </c>
      <c r="P218" s="13" t="b">
        <v>0</v>
      </c>
      <c r="Q218" s="12" t="s">
        <v>319</v>
      </c>
      <c r="R218" s="12" t="s">
        <v>1501</v>
      </c>
      <c r="S218" s="12" t="s">
        <v>1504</v>
      </c>
      <c r="T218" s="14"/>
      <c r="U218" s="14"/>
      <c r="V218" s="12"/>
      <c r="W218" s="12"/>
      <c r="X218" s="12"/>
      <c r="Y218" s="12"/>
      <c r="Z218" s="12"/>
      <c r="AA218" s="12"/>
      <c r="AB218" s="12"/>
      <c r="AC218" s="12"/>
    </row>
    <row r="219" ht="37.5" customHeight="1">
      <c r="A219" s="17" t="s">
        <v>122</v>
      </c>
      <c r="B219" s="17" t="s">
        <v>1508</v>
      </c>
      <c r="C219" s="17" t="s">
        <v>780</v>
      </c>
      <c r="D219" s="17" t="s">
        <v>1498</v>
      </c>
      <c r="E219" s="17" t="s">
        <v>115</v>
      </c>
      <c r="F219" s="17" t="s">
        <v>1499</v>
      </c>
      <c r="G219" s="17" t="s">
        <v>119</v>
      </c>
      <c r="H219" s="17" t="s">
        <v>1500</v>
      </c>
      <c r="I219" s="17" t="s">
        <v>1501</v>
      </c>
      <c r="J219" s="17" t="s">
        <v>539</v>
      </c>
      <c r="K219" s="17" t="s">
        <v>888</v>
      </c>
      <c r="L219" s="17" t="s">
        <v>1509</v>
      </c>
      <c r="M219" s="43" t="s">
        <v>1510</v>
      </c>
      <c r="N219" s="18" t="b">
        <v>1</v>
      </c>
      <c r="O219" s="18" t="b">
        <v>0</v>
      </c>
      <c r="P219" s="18" t="b">
        <v>0</v>
      </c>
      <c r="Q219" s="17" t="s">
        <v>319</v>
      </c>
      <c r="R219" s="17" t="s">
        <v>1501</v>
      </c>
      <c r="S219" s="17" t="s">
        <v>1504</v>
      </c>
      <c r="T219" s="19"/>
      <c r="U219" s="19"/>
      <c r="V219" s="17"/>
      <c r="W219" s="17"/>
      <c r="X219" s="17"/>
      <c r="Y219" s="17"/>
      <c r="Z219" s="17"/>
      <c r="AA219" s="17"/>
      <c r="AB219" s="17"/>
      <c r="AC219" s="17"/>
    </row>
    <row r="220" ht="37.5" customHeight="1">
      <c r="A220" s="12" t="s">
        <v>122</v>
      </c>
      <c r="B220" s="16" t="s">
        <v>1511</v>
      </c>
      <c r="C220" s="12" t="s">
        <v>780</v>
      </c>
      <c r="D220" s="12" t="s">
        <v>1512</v>
      </c>
      <c r="E220" s="12" t="s">
        <v>115</v>
      </c>
      <c r="F220" s="12" t="s">
        <v>1513</v>
      </c>
      <c r="G220" s="12" t="s">
        <v>622</v>
      </c>
      <c r="H220" s="12" t="s">
        <v>1514</v>
      </c>
      <c r="I220" s="12" t="s">
        <v>1515</v>
      </c>
      <c r="J220" s="12" t="s">
        <v>539</v>
      </c>
      <c r="K220" s="12" t="s">
        <v>1516</v>
      </c>
      <c r="L220" s="12" t="s">
        <v>1517</v>
      </c>
      <c r="M220" s="54" t="s">
        <v>1518</v>
      </c>
      <c r="N220" s="13" t="b">
        <v>1</v>
      </c>
      <c r="O220" s="13" t="b">
        <v>0</v>
      </c>
      <c r="P220" s="13" t="b">
        <v>0</v>
      </c>
      <c r="Q220" s="12" t="s">
        <v>319</v>
      </c>
      <c r="R220" s="12" t="s">
        <v>1515</v>
      </c>
      <c r="S220" s="12" t="s">
        <v>1519</v>
      </c>
      <c r="T220" s="14"/>
      <c r="U220" s="14"/>
      <c r="V220" s="12"/>
      <c r="W220" s="12"/>
      <c r="X220" s="12"/>
      <c r="Y220" s="12"/>
      <c r="Z220" s="12"/>
      <c r="AA220" s="12"/>
      <c r="AB220" s="12"/>
      <c r="AC220" s="12"/>
    </row>
    <row r="221" ht="37.5" customHeight="1">
      <c r="A221" s="17" t="s">
        <v>122</v>
      </c>
      <c r="B221" s="17" t="s">
        <v>1520</v>
      </c>
      <c r="C221" s="17" t="s">
        <v>780</v>
      </c>
      <c r="D221" s="17" t="s">
        <v>1512</v>
      </c>
      <c r="E221" s="17" t="s">
        <v>115</v>
      </c>
      <c r="F221" s="17" t="s">
        <v>1513</v>
      </c>
      <c r="G221" s="17" t="s">
        <v>622</v>
      </c>
      <c r="H221" s="17" t="s">
        <v>1514</v>
      </c>
      <c r="I221" s="17" t="s">
        <v>1515</v>
      </c>
      <c r="J221" s="17" t="s">
        <v>539</v>
      </c>
      <c r="K221" s="17" t="s">
        <v>1521</v>
      </c>
      <c r="L221" s="17" t="s">
        <v>1522</v>
      </c>
      <c r="M221" s="43" t="s">
        <v>1523</v>
      </c>
      <c r="N221" s="18" t="b">
        <v>1</v>
      </c>
      <c r="O221" s="18" t="b">
        <v>0</v>
      </c>
      <c r="P221" s="18" t="b">
        <v>1</v>
      </c>
      <c r="Q221" s="17" t="s">
        <v>341</v>
      </c>
      <c r="R221" s="17" t="s">
        <v>1515</v>
      </c>
      <c r="S221" s="17" t="s">
        <v>1519</v>
      </c>
      <c r="T221" s="19"/>
      <c r="U221" s="19"/>
      <c r="V221" s="17"/>
      <c r="W221" s="17"/>
      <c r="X221" s="17"/>
      <c r="Y221" s="17"/>
      <c r="Z221" s="17"/>
      <c r="AA221" s="17"/>
      <c r="AB221" s="17"/>
      <c r="AC221" s="17"/>
    </row>
    <row r="222" ht="37.5" customHeight="1">
      <c r="A222" s="12" t="s">
        <v>122</v>
      </c>
      <c r="B222" s="12" t="s">
        <v>1524</v>
      </c>
      <c r="C222" s="12" t="s">
        <v>780</v>
      </c>
      <c r="D222" s="12" t="s">
        <v>1512</v>
      </c>
      <c r="E222" s="12" t="s">
        <v>115</v>
      </c>
      <c r="F222" s="12" t="s">
        <v>1513</v>
      </c>
      <c r="G222" s="12" t="s">
        <v>622</v>
      </c>
      <c r="H222" s="12" t="s">
        <v>1514</v>
      </c>
      <c r="I222" s="12" t="s">
        <v>1515</v>
      </c>
      <c r="J222" s="12" t="s">
        <v>539</v>
      </c>
      <c r="K222" s="12" t="s">
        <v>749</v>
      </c>
      <c r="L222" s="12" t="s">
        <v>1164</v>
      </c>
      <c r="M222" s="54" t="s">
        <v>1525</v>
      </c>
      <c r="N222" s="13" t="b">
        <v>1</v>
      </c>
      <c r="O222" s="13" t="b">
        <v>0</v>
      </c>
      <c r="P222" s="13" t="b">
        <v>0</v>
      </c>
      <c r="Q222" s="12" t="s">
        <v>775</v>
      </c>
      <c r="R222" s="12" t="s">
        <v>1515</v>
      </c>
      <c r="S222" s="12" t="s">
        <v>1519</v>
      </c>
      <c r="T222" s="14"/>
      <c r="U222" s="14"/>
      <c r="V222" s="12"/>
      <c r="W222" s="12"/>
      <c r="X222" s="12"/>
      <c r="Y222" s="12"/>
      <c r="Z222" s="12"/>
      <c r="AA222" s="12"/>
      <c r="AB222" s="12"/>
      <c r="AC222" s="12"/>
    </row>
    <row r="223" ht="37.5" customHeight="1">
      <c r="A223" s="17" t="s">
        <v>122</v>
      </c>
      <c r="B223" s="17" t="s">
        <v>1526</v>
      </c>
      <c r="C223" s="17" t="s">
        <v>780</v>
      </c>
      <c r="D223" s="17" t="s">
        <v>327</v>
      </c>
      <c r="E223" s="17" t="s">
        <v>134</v>
      </c>
      <c r="F223" s="17" t="s">
        <v>1527</v>
      </c>
      <c r="G223" s="17" t="s">
        <v>119</v>
      </c>
      <c r="H223" s="17" t="s">
        <v>1528</v>
      </c>
      <c r="I223" s="17" t="s">
        <v>1529</v>
      </c>
      <c r="J223" s="17" t="s">
        <v>1530</v>
      </c>
      <c r="K223" s="17" t="s">
        <v>380</v>
      </c>
      <c r="L223" s="17" t="s">
        <v>1531</v>
      </c>
      <c r="M223" s="43" t="s">
        <v>1532</v>
      </c>
      <c r="N223" s="18" t="b">
        <v>1</v>
      </c>
      <c r="O223" s="18" t="b">
        <v>0</v>
      </c>
      <c r="P223" s="18" t="b">
        <v>0</v>
      </c>
      <c r="Q223" s="17" t="s">
        <v>319</v>
      </c>
      <c r="R223" s="17" t="s">
        <v>1529</v>
      </c>
      <c r="S223" s="17" t="s">
        <v>333</v>
      </c>
      <c r="T223" s="19"/>
      <c r="U223" s="19"/>
      <c r="V223" s="17"/>
      <c r="W223" s="17"/>
      <c r="X223" s="17"/>
      <c r="Y223" s="17"/>
      <c r="Z223" s="17"/>
      <c r="AA223" s="17"/>
      <c r="AB223" s="17"/>
      <c r="AC223" s="17"/>
    </row>
    <row r="224" ht="37.5" customHeight="1">
      <c r="A224" s="12" t="s">
        <v>122</v>
      </c>
      <c r="B224" s="16" t="s">
        <v>1533</v>
      </c>
      <c r="C224" s="12" t="s">
        <v>780</v>
      </c>
      <c r="D224" s="12" t="s">
        <v>327</v>
      </c>
      <c r="E224" s="12" t="s">
        <v>134</v>
      </c>
      <c r="F224" s="12" t="s">
        <v>1527</v>
      </c>
      <c r="G224" s="12" t="s">
        <v>119</v>
      </c>
      <c r="H224" s="12" t="s">
        <v>1528</v>
      </c>
      <c r="I224" s="12" t="s">
        <v>1529</v>
      </c>
      <c r="J224" s="12" t="s">
        <v>1530</v>
      </c>
      <c r="K224" s="12" t="s">
        <v>1534</v>
      </c>
      <c r="L224" s="12" t="s">
        <v>1535</v>
      </c>
      <c r="M224" s="54" t="s">
        <v>1536</v>
      </c>
      <c r="N224" s="13" t="b">
        <v>1</v>
      </c>
      <c r="O224" s="13" t="b">
        <v>0</v>
      </c>
      <c r="P224" s="13" t="b">
        <v>0</v>
      </c>
      <c r="Q224" s="12" t="s">
        <v>341</v>
      </c>
      <c r="R224" s="12" t="s">
        <v>1529</v>
      </c>
      <c r="S224" s="12" t="s">
        <v>333</v>
      </c>
      <c r="T224" s="14"/>
      <c r="U224" s="14"/>
      <c r="V224" s="12"/>
      <c r="W224" s="12"/>
      <c r="X224" s="12"/>
      <c r="Y224" s="12"/>
      <c r="Z224" s="12"/>
      <c r="AA224" s="12"/>
      <c r="AB224" s="12"/>
      <c r="AC224" s="12"/>
    </row>
    <row r="225" ht="37.5" customHeight="1">
      <c r="A225" s="12" t="s">
        <v>122</v>
      </c>
      <c r="B225" s="12" t="s">
        <v>336</v>
      </c>
      <c r="C225" s="12" t="s">
        <v>780</v>
      </c>
      <c r="D225" s="12" t="s">
        <v>335</v>
      </c>
      <c r="E225" s="70" t="s">
        <v>134</v>
      </c>
      <c r="F225" s="70" t="s">
        <v>1537</v>
      </c>
      <c r="G225" s="70" t="s">
        <v>1538</v>
      </c>
      <c r="H225" s="70" t="s">
        <v>1539</v>
      </c>
      <c r="I225" s="70" t="s">
        <v>1540</v>
      </c>
      <c r="J225" s="70" t="s">
        <v>1541</v>
      </c>
      <c r="K225" s="70" t="s">
        <v>337</v>
      </c>
      <c r="L225" s="70" t="s">
        <v>339</v>
      </c>
      <c r="M225" s="71" t="s">
        <v>338</v>
      </c>
      <c r="N225" s="18" t="b">
        <v>1</v>
      </c>
      <c r="O225" s="18" t="b">
        <v>0</v>
      </c>
      <c r="P225" s="18" t="b">
        <v>1</v>
      </c>
      <c r="Q225" s="70" t="s">
        <v>341</v>
      </c>
      <c r="R225" s="70" t="s">
        <v>1540</v>
      </c>
      <c r="S225" s="70" t="s">
        <v>340</v>
      </c>
      <c r="T225" s="72"/>
      <c r="U225" s="72"/>
      <c r="V225" s="70"/>
      <c r="W225" s="70"/>
      <c r="X225" s="70"/>
      <c r="Y225" s="70"/>
      <c r="Z225" s="70"/>
      <c r="AA225" s="70"/>
      <c r="AB225" s="70"/>
      <c r="AC225" s="70"/>
    </row>
    <row r="226" ht="37.5" customHeight="1">
      <c r="A226" s="33" t="s">
        <v>122</v>
      </c>
      <c r="B226" s="33" t="s">
        <v>1542</v>
      </c>
      <c r="C226" s="33" t="s">
        <v>86</v>
      </c>
      <c r="D226" s="33" t="s">
        <v>1543</v>
      </c>
      <c r="E226" s="70"/>
      <c r="F226" s="70"/>
      <c r="G226" s="70"/>
      <c r="H226" s="70"/>
      <c r="I226" s="70"/>
      <c r="J226" s="70"/>
      <c r="K226" s="70"/>
      <c r="L226" s="70"/>
      <c r="M226" s="73"/>
      <c r="N226" s="74" t="b">
        <v>1</v>
      </c>
      <c r="O226" s="74" t="b">
        <v>0</v>
      </c>
      <c r="P226" s="74" t="b">
        <v>1</v>
      </c>
      <c r="Q226" s="70"/>
      <c r="R226" s="70"/>
      <c r="S226" s="70"/>
      <c r="T226" s="72"/>
      <c r="U226" s="72"/>
      <c r="V226" s="70"/>
      <c r="W226" s="70"/>
      <c r="X226" s="70"/>
      <c r="Y226" s="70"/>
      <c r="Z226" s="70"/>
      <c r="AA226" s="70"/>
      <c r="AB226" s="70"/>
      <c r="AC226" s="70"/>
    </row>
    <row r="227" ht="37.5" customHeight="1">
      <c r="A227" s="70" t="s">
        <v>122</v>
      </c>
      <c r="B227" s="70" t="s">
        <v>1544</v>
      </c>
      <c r="C227" s="70" t="s">
        <v>780</v>
      </c>
      <c r="D227" s="70" t="s">
        <v>335</v>
      </c>
      <c r="E227" s="70" t="s">
        <v>134</v>
      </c>
      <c r="F227" s="70" t="s">
        <v>1537</v>
      </c>
      <c r="G227" s="70" t="s">
        <v>1538</v>
      </c>
      <c r="H227" s="70" t="s">
        <v>1539</v>
      </c>
      <c r="I227" s="70" t="s">
        <v>1540</v>
      </c>
      <c r="J227" s="70" t="s">
        <v>1541</v>
      </c>
      <c r="K227" s="70" t="s">
        <v>1545</v>
      </c>
      <c r="L227" s="70" t="s">
        <v>1546</v>
      </c>
      <c r="M227" s="71" t="s">
        <v>1547</v>
      </c>
      <c r="N227" s="18" t="b">
        <v>1</v>
      </c>
      <c r="O227" s="18" t="b">
        <v>0</v>
      </c>
      <c r="P227" s="18" t="b">
        <v>0</v>
      </c>
      <c r="Q227" s="70" t="s">
        <v>775</v>
      </c>
      <c r="R227" s="70" t="s">
        <v>1540</v>
      </c>
      <c r="S227" s="70" t="s">
        <v>340</v>
      </c>
      <c r="T227" s="72"/>
      <c r="U227" s="72"/>
      <c r="V227" s="70"/>
      <c r="W227" s="70"/>
      <c r="X227" s="70"/>
      <c r="Y227" s="70"/>
      <c r="Z227" s="70"/>
      <c r="AA227" s="70"/>
      <c r="AB227" s="70"/>
      <c r="AC227" s="70"/>
    </row>
    <row r="228" ht="15.75" customHeight="1">
      <c r="A228" s="70" t="s">
        <v>122</v>
      </c>
      <c r="B228" s="70" t="s">
        <v>1548</v>
      </c>
      <c r="C228" s="70" t="s">
        <v>780</v>
      </c>
      <c r="D228" s="70" t="s">
        <v>335</v>
      </c>
      <c r="E228" s="70" t="s">
        <v>134</v>
      </c>
      <c r="F228" s="70" t="s">
        <v>1537</v>
      </c>
      <c r="G228" s="70" t="s">
        <v>1538</v>
      </c>
      <c r="H228" s="70" t="s">
        <v>1539</v>
      </c>
      <c r="I228" s="70" t="s">
        <v>1540</v>
      </c>
      <c r="J228" s="70" t="s">
        <v>1541</v>
      </c>
      <c r="K228" s="70" t="s">
        <v>749</v>
      </c>
      <c r="L228" s="70" t="s">
        <v>1549</v>
      </c>
      <c r="M228" s="71" t="s">
        <v>1550</v>
      </c>
      <c r="N228" s="18" t="b">
        <v>0</v>
      </c>
      <c r="O228" s="18" t="b">
        <v>0</v>
      </c>
      <c r="P228" s="18" t="b">
        <v>0</v>
      </c>
      <c r="Q228" s="70" t="s">
        <v>775</v>
      </c>
      <c r="R228" s="70" t="s">
        <v>1540</v>
      </c>
      <c r="S228" s="70" t="s">
        <v>340</v>
      </c>
      <c r="T228" s="72"/>
      <c r="U228" s="72"/>
      <c r="V228" s="70"/>
      <c r="W228" s="73"/>
      <c r="X228" s="73"/>
      <c r="Y228" s="73"/>
      <c r="Z228" s="73"/>
      <c r="AA228" s="73"/>
      <c r="AB228" s="73"/>
      <c r="AC228" s="73"/>
    </row>
    <row r="229" ht="15.75" customHeight="1">
      <c r="A229" s="70" t="s">
        <v>122</v>
      </c>
      <c r="B229" s="70" t="s">
        <v>518</v>
      </c>
      <c r="C229" s="70" t="s">
        <v>780</v>
      </c>
      <c r="D229" s="70" t="s">
        <v>517</v>
      </c>
      <c r="E229" s="70" t="s">
        <v>134</v>
      </c>
      <c r="F229" s="70" t="s">
        <v>1551</v>
      </c>
      <c r="G229" s="70" t="s">
        <v>1538</v>
      </c>
      <c r="H229" s="70" t="s">
        <v>1552</v>
      </c>
      <c r="I229" s="70" t="s">
        <v>1553</v>
      </c>
      <c r="J229" s="70" t="s">
        <v>1554</v>
      </c>
      <c r="K229" s="70" t="s">
        <v>519</v>
      </c>
      <c r="L229" s="70" t="s">
        <v>521</v>
      </c>
      <c r="M229" s="71" t="s">
        <v>520</v>
      </c>
      <c r="N229" s="13" t="b">
        <v>1</v>
      </c>
      <c r="O229" s="13" t="b">
        <v>0</v>
      </c>
      <c r="P229" s="13" t="b">
        <v>1</v>
      </c>
      <c r="Q229" s="70" t="s">
        <v>341</v>
      </c>
      <c r="R229" s="70" t="s">
        <v>1553</v>
      </c>
      <c r="S229" s="70" t="s">
        <v>522</v>
      </c>
      <c r="T229" s="72"/>
      <c r="U229" s="72"/>
      <c r="V229" s="70"/>
      <c r="W229" s="73"/>
      <c r="X229" s="73"/>
      <c r="Y229" s="73"/>
      <c r="Z229" s="73"/>
      <c r="AA229" s="73"/>
      <c r="AB229" s="73"/>
      <c r="AC229" s="73"/>
    </row>
    <row r="230" ht="15.75" customHeight="1">
      <c r="A230" s="70" t="s">
        <v>122</v>
      </c>
      <c r="B230" s="70" t="s">
        <v>1555</v>
      </c>
      <c r="C230" s="70" t="s">
        <v>780</v>
      </c>
      <c r="D230" s="70" t="s">
        <v>517</v>
      </c>
      <c r="E230" s="70" t="s">
        <v>134</v>
      </c>
      <c r="F230" s="70" t="s">
        <v>1551</v>
      </c>
      <c r="G230" s="70" t="s">
        <v>1538</v>
      </c>
      <c r="H230" s="70" t="s">
        <v>1552</v>
      </c>
      <c r="I230" s="70" t="s">
        <v>1553</v>
      </c>
      <c r="J230" s="70" t="s">
        <v>1554</v>
      </c>
      <c r="K230" s="70" t="s">
        <v>1556</v>
      </c>
      <c r="L230" s="70" t="s">
        <v>1557</v>
      </c>
      <c r="M230" s="71" t="s">
        <v>1558</v>
      </c>
      <c r="N230" s="18" t="b">
        <v>1</v>
      </c>
      <c r="O230" s="18" t="b">
        <v>0</v>
      </c>
      <c r="P230" s="18" t="b">
        <v>0</v>
      </c>
      <c r="Q230" s="70" t="s">
        <v>341</v>
      </c>
      <c r="R230" s="70" t="s">
        <v>1553</v>
      </c>
      <c r="S230" s="70" t="s">
        <v>522</v>
      </c>
      <c r="T230" s="72"/>
      <c r="U230" s="72"/>
      <c r="V230" s="70"/>
      <c r="W230" s="75"/>
      <c r="X230" s="75"/>
      <c r="Y230" s="75"/>
      <c r="Z230" s="75"/>
      <c r="AA230" s="75"/>
      <c r="AB230" s="75"/>
      <c r="AC230" s="75"/>
    </row>
    <row r="231" ht="15.75" customHeight="1">
      <c r="A231" s="70" t="s">
        <v>122</v>
      </c>
      <c r="B231" s="70" t="s">
        <v>1559</v>
      </c>
      <c r="C231" s="70" t="s">
        <v>780</v>
      </c>
      <c r="D231" s="70" t="s">
        <v>517</v>
      </c>
      <c r="E231" s="70" t="s">
        <v>134</v>
      </c>
      <c r="F231" s="70" t="s">
        <v>1551</v>
      </c>
      <c r="G231" s="70" t="s">
        <v>1538</v>
      </c>
      <c r="H231" s="70" t="s">
        <v>1552</v>
      </c>
      <c r="I231" s="70" t="s">
        <v>1553</v>
      </c>
      <c r="J231" s="70" t="s">
        <v>1554</v>
      </c>
      <c r="K231" s="70" t="s">
        <v>749</v>
      </c>
      <c r="L231" s="70" t="s">
        <v>1560</v>
      </c>
      <c r="M231" s="76" t="s">
        <v>1561</v>
      </c>
      <c r="N231" s="18" t="b">
        <v>1</v>
      </c>
      <c r="O231" s="18" t="b">
        <v>0</v>
      </c>
      <c r="P231" s="18" t="b">
        <v>0</v>
      </c>
      <c r="Q231" s="70" t="s">
        <v>775</v>
      </c>
      <c r="R231" s="70" t="s">
        <v>1553</v>
      </c>
      <c r="S231" s="70" t="s">
        <v>522</v>
      </c>
      <c r="T231" s="72"/>
      <c r="U231" s="72"/>
      <c r="V231" s="70"/>
      <c r="W231" s="75"/>
      <c r="X231" s="75"/>
      <c r="Y231" s="75"/>
      <c r="Z231" s="75"/>
      <c r="AA231" s="75"/>
      <c r="AB231" s="75"/>
      <c r="AC231" s="75"/>
    </row>
    <row r="232" ht="15.75" customHeight="1">
      <c r="A232" s="70" t="s">
        <v>122</v>
      </c>
      <c r="B232" s="70" t="s">
        <v>1562</v>
      </c>
      <c r="C232" s="70" t="s">
        <v>1563</v>
      </c>
      <c r="D232" s="70" t="s">
        <v>737</v>
      </c>
      <c r="E232" s="70" t="s">
        <v>738</v>
      </c>
      <c r="F232" s="70" t="s">
        <v>1564</v>
      </c>
      <c r="G232" s="70" t="s">
        <v>1565</v>
      </c>
      <c r="H232" s="70" t="s">
        <v>1566</v>
      </c>
      <c r="I232" s="77" t="s">
        <v>1567</v>
      </c>
      <c r="J232" s="70" t="s">
        <v>1568</v>
      </c>
      <c r="K232" s="70" t="s">
        <v>767</v>
      </c>
      <c r="L232" s="70" t="s">
        <v>1566</v>
      </c>
      <c r="M232" s="77" t="s">
        <v>1569</v>
      </c>
      <c r="N232" s="17" t="b">
        <v>0</v>
      </c>
      <c r="O232" s="17" t="b">
        <v>0</v>
      </c>
      <c r="P232" s="17" t="b">
        <v>0</v>
      </c>
      <c r="Q232" s="70" t="s">
        <v>319</v>
      </c>
      <c r="R232" s="77" t="s">
        <v>1567</v>
      </c>
      <c r="S232" s="70" t="s">
        <v>1570</v>
      </c>
      <c r="T232" s="70"/>
      <c r="U232" s="70"/>
      <c r="V232" s="70"/>
      <c r="W232" s="70"/>
      <c r="X232" s="70"/>
      <c r="Y232" s="70"/>
      <c r="Z232" s="70"/>
      <c r="AA232" s="70"/>
      <c r="AB232" s="70"/>
      <c r="AC232" s="70"/>
    </row>
    <row r="233" ht="15.75" customHeight="1">
      <c r="A233" s="70" t="s">
        <v>122</v>
      </c>
      <c r="B233" s="70" t="s">
        <v>1571</v>
      </c>
      <c r="C233" s="73" t="s">
        <v>753</v>
      </c>
      <c r="D233" s="70" t="s">
        <v>1572</v>
      </c>
      <c r="E233" s="70" t="s">
        <v>738</v>
      </c>
      <c r="F233" s="70" t="s">
        <v>1573</v>
      </c>
      <c r="G233" s="70" t="s">
        <v>745</v>
      </c>
      <c r="H233" s="70" t="s">
        <v>1574</v>
      </c>
      <c r="I233" s="77" t="s">
        <v>1567</v>
      </c>
      <c r="J233" s="70" t="s">
        <v>1575</v>
      </c>
      <c r="K233" s="70" t="s">
        <v>767</v>
      </c>
      <c r="L233" s="70" t="s">
        <v>1574</v>
      </c>
      <c r="M233" s="77" t="s">
        <v>1576</v>
      </c>
      <c r="N233" s="33" t="b">
        <v>1</v>
      </c>
      <c r="O233" s="18" t="b">
        <v>0</v>
      </c>
      <c r="P233" s="18" t="b">
        <v>0</v>
      </c>
      <c r="Q233" s="74" t="s">
        <v>319</v>
      </c>
      <c r="R233" s="77" t="s">
        <v>1567</v>
      </c>
      <c r="S233" s="70" t="s">
        <v>1577</v>
      </c>
      <c r="T233" s="70"/>
      <c r="U233" s="72"/>
      <c r="V233" s="70"/>
      <c r="W233" s="70"/>
      <c r="X233" s="70"/>
      <c r="Y233" s="70"/>
      <c r="Z233" s="70"/>
      <c r="AA233" s="70"/>
      <c r="AB233" s="70"/>
      <c r="AC233" s="70"/>
    </row>
    <row r="234" ht="15.75" customHeight="1">
      <c r="A234" s="70" t="s">
        <v>123</v>
      </c>
      <c r="B234" s="70" t="s">
        <v>1578</v>
      </c>
      <c r="C234" s="70" t="s">
        <v>1579</v>
      </c>
      <c r="D234" s="70" t="s">
        <v>1580</v>
      </c>
      <c r="E234" s="70" t="s">
        <v>1581</v>
      </c>
      <c r="F234" s="70" t="s">
        <v>1582</v>
      </c>
      <c r="G234" s="70" t="s">
        <v>745</v>
      </c>
      <c r="H234" s="70" t="s">
        <v>1583</v>
      </c>
      <c r="I234" s="77" t="s">
        <v>1567</v>
      </c>
      <c r="J234" s="70" t="s">
        <v>1584</v>
      </c>
      <c r="K234" s="70" t="s">
        <v>1585</v>
      </c>
      <c r="L234" s="70" t="s">
        <v>1583</v>
      </c>
      <c r="M234" s="71" t="s">
        <v>1586</v>
      </c>
      <c r="N234" s="18" t="b">
        <v>1</v>
      </c>
      <c r="O234" s="18" t="b">
        <v>0</v>
      </c>
      <c r="P234" s="18" t="b">
        <v>0</v>
      </c>
      <c r="Q234" s="70" t="s">
        <v>319</v>
      </c>
      <c r="R234" s="77" t="s">
        <v>1567</v>
      </c>
      <c r="S234" s="70" t="s">
        <v>1587</v>
      </c>
      <c r="T234" s="72"/>
      <c r="U234" s="72"/>
      <c r="V234" s="70"/>
      <c r="W234" s="70"/>
      <c r="X234" s="70"/>
      <c r="Y234" s="70"/>
      <c r="Z234" s="70"/>
      <c r="AA234" s="70"/>
      <c r="AB234" s="70"/>
      <c r="AC234" s="70"/>
    </row>
    <row r="235" ht="15.75" customHeight="1">
      <c r="A235" s="75" t="s">
        <v>123</v>
      </c>
      <c r="B235" s="75" t="s">
        <v>1588</v>
      </c>
      <c r="C235" s="75" t="s">
        <v>1563</v>
      </c>
      <c r="D235" s="75" t="s">
        <v>737</v>
      </c>
      <c r="E235" s="75" t="s">
        <v>738</v>
      </c>
      <c r="F235" s="75" t="s">
        <v>1589</v>
      </c>
      <c r="G235" s="75" t="s">
        <v>745</v>
      </c>
      <c r="H235" s="75" t="s">
        <v>1590</v>
      </c>
      <c r="I235" s="75" t="s">
        <v>1567</v>
      </c>
      <c r="J235" s="75" t="s">
        <v>766</v>
      </c>
      <c r="K235" s="75" t="s">
        <v>767</v>
      </c>
      <c r="L235" s="75" t="s">
        <v>1590</v>
      </c>
      <c r="M235" s="78" t="s">
        <v>1591</v>
      </c>
      <c r="N235" s="65" t="b">
        <v>0</v>
      </c>
      <c r="O235" s="65" t="b">
        <v>0</v>
      </c>
      <c r="P235" s="65" t="b">
        <v>0</v>
      </c>
      <c r="Q235" s="75" t="s">
        <v>319</v>
      </c>
      <c r="R235" s="75" t="s">
        <v>1567</v>
      </c>
      <c r="S235" s="75" t="s">
        <v>1592</v>
      </c>
      <c r="T235" s="79"/>
      <c r="U235" s="79"/>
      <c r="V235" s="75"/>
      <c r="W235" s="70"/>
      <c r="X235" s="70"/>
      <c r="Y235" s="70"/>
      <c r="Z235" s="70"/>
      <c r="AA235" s="70"/>
      <c r="AB235" s="70"/>
      <c r="AC235" s="70"/>
    </row>
    <row r="236" ht="15.75" customHeight="1">
      <c r="A236" s="75" t="s">
        <v>123</v>
      </c>
      <c r="B236" s="75" t="s">
        <v>1593</v>
      </c>
      <c r="C236" s="75" t="s">
        <v>1563</v>
      </c>
      <c r="D236" s="75" t="s">
        <v>737</v>
      </c>
      <c r="E236" s="75" t="s">
        <v>738</v>
      </c>
      <c r="F236" s="75" t="s">
        <v>1594</v>
      </c>
      <c r="G236" s="75" t="s">
        <v>1595</v>
      </c>
      <c r="H236" s="75" t="s">
        <v>1596</v>
      </c>
      <c r="I236" s="75" t="s">
        <v>1567</v>
      </c>
      <c r="J236" s="75" t="s">
        <v>1597</v>
      </c>
      <c r="K236" s="75" t="s">
        <v>767</v>
      </c>
      <c r="L236" s="75" t="s">
        <v>1596</v>
      </c>
      <c r="M236" s="80" t="s">
        <v>1598</v>
      </c>
      <c r="N236" s="65" t="b">
        <v>0</v>
      </c>
      <c r="O236" s="65" t="b">
        <v>0</v>
      </c>
      <c r="P236" s="65" t="b">
        <v>0</v>
      </c>
      <c r="Q236" s="75" t="s">
        <v>775</v>
      </c>
      <c r="R236" s="75" t="s">
        <v>1567</v>
      </c>
      <c r="S236" s="75" t="s">
        <v>1599</v>
      </c>
      <c r="T236" s="79"/>
      <c r="U236" s="79"/>
      <c r="V236" s="75"/>
      <c r="W236" s="70"/>
      <c r="X236" s="70"/>
      <c r="Y236" s="70"/>
      <c r="Z236" s="70"/>
      <c r="AA236" s="70"/>
      <c r="AB236" s="70"/>
      <c r="AC236" s="70"/>
    </row>
    <row r="237" ht="15.75" customHeight="1">
      <c r="A237" s="70" t="s">
        <v>122</v>
      </c>
      <c r="B237" s="70" t="s">
        <v>1600</v>
      </c>
      <c r="C237" s="70" t="s">
        <v>1563</v>
      </c>
      <c r="D237" s="70" t="s">
        <v>1601</v>
      </c>
      <c r="E237" s="70" t="s">
        <v>738</v>
      </c>
      <c r="F237" s="70" t="s">
        <v>1602</v>
      </c>
      <c r="G237" s="70" t="s">
        <v>1565</v>
      </c>
      <c r="H237" s="70" t="s">
        <v>1603</v>
      </c>
      <c r="I237" s="77" t="s">
        <v>1604</v>
      </c>
      <c r="J237" s="70" t="s">
        <v>1605</v>
      </c>
      <c r="K237" s="70" t="s">
        <v>767</v>
      </c>
      <c r="L237" s="70" t="s">
        <v>1603</v>
      </c>
      <c r="M237" s="76" t="s">
        <v>1606</v>
      </c>
      <c r="N237" s="18" t="b">
        <v>0</v>
      </c>
      <c r="O237" s="18" t="b">
        <v>0</v>
      </c>
      <c r="P237" s="18" t="b">
        <v>0</v>
      </c>
      <c r="Q237" s="70" t="s">
        <v>319</v>
      </c>
      <c r="R237" s="77" t="s">
        <v>1604</v>
      </c>
      <c r="S237" s="70" t="s">
        <v>1607</v>
      </c>
      <c r="T237" s="72"/>
      <c r="U237" s="72"/>
      <c r="V237" s="70"/>
      <c r="W237" s="70"/>
      <c r="X237" s="70"/>
      <c r="Y237" s="70"/>
      <c r="Z237" s="70"/>
      <c r="AA237" s="70"/>
      <c r="AB237" s="70"/>
      <c r="AC237" s="70"/>
    </row>
    <row r="238" ht="15.75" customHeight="1">
      <c r="A238" s="70" t="s">
        <v>122</v>
      </c>
      <c r="B238" s="70" t="s">
        <v>1608</v>
      </c>
      <c r="C238" s="70" t="s">
        <v>46</v>
      </c>
      <c r="D238" s="70" t="s">
        <v>1609</v>
      </c>
      <c r="E238" s="70" t="s">
        <v>56</v>
      </c>
      <c r="F238" s="70" t="s">
        <v>1610</v>
      </c>
      <c r="G238" s="70" t="s">
        <v>745</v>
      </c>
      <c r="H238" s="70" t="s">
        <v>1611</v>
      </c>
      <c r="I238" s="77" t="s">
        <v>1612</v>
      </c>
      <c r="J238" s="70" t="s">
        <v>1613</v>
      </c>
      <c r="K238" s="70" t="s">
        <v>749</v>
      </c>
      <c r="L238" s="70" t="s">
        <v>1611</v>
      </c>
      <c r="M238" s="71" t="s">
        <v>1614</v>
      </c>
      <c r="N238" s="18" t="b">
        <v>0</v>
      </c>
      <c r="O238" s="18" t="b">
        <v>0</v>
      </c>
      <c r="P238" s="18" t="b">
        <v>0</v>
      </c>
      <c r="Q238" s="70" t="s">
        <v>769</v>
      </c>
      <c r="R238" s="77" t="s">
        <v>1612</v>
      </c>
      <c r="S238" s="70" t="s">
        <v>1615</v>
      </c>
      <c r="T238" s="72"/>
      <c r="U238" s="72"/>
      <c r="V238" s="70"/>
      <c r="W238" s="70"/>
      <c r="X238" s="70"/>
      <c r="Y238" s="70"/>
      <c r="Z238" s="70"/>
      <c r="AA238" s="70"/>
      <c r="AB238" s="70"/>
      <c r="AC238" s="70"/>
    </row>
    <row r="239" ht="15.75" customHeight="1">
      <c r="A239" s="70" t="s">
        <v>122</v>
      </c>
      <c r="B239" s="70" t="s">
        <v>1616</v>
      </c>
      <c r="C239" s="70" t="s">
        <v>46</v>
      </c>
      <c r="D239" s="70" t="s">
        <v>1617</v>
      </c>
      <c r="E239" s="70" t="s">
        <v>1618</v>
      </c>
      <c r="F239" s="70" t="s">
        <v>1619</v>
      </c>
      <c r="G239" s="70" t="s">
        <v>1620</v>
      </c>
      <c r="H239" s="70" t="s">
        <v>1621</v>
      </c>
      <c r="I239" s="77" t="s">
        <v>1622</v>
      </c>
      <c r="J239" s="70" t="s">
        <v>1623</v>
      </c>
      <c r="K239" s="70" t="s">
        <v>380</v>
      </c>
      <c r="L239" s="70" t="s">
        <v>1621</v>
      </c>
      <c r="M239" s="71" t="s">
        <v>1624</v>
      </c>
      <c r="N239" s="18" t="b">
        <v>1</v>
      </c>
      <c r="O239" s="18" t="b">
        <v>0</v>
      </c>
      <c r="P239" s="18" t="b">
        <v>0</v>
      </c>
      <c r="Q239" s="70" t="s">
        <v>769</v>
      </c>
      <c r="R239" s="77" t="s">
        <v>1622</v>
      </c>
      <c r="S239" s="70" t="s">
        <v>1625</v>
      </c>
      <c r="T239" s="72"/>
      <c r="U239" s="72"/>
      <c r="V239" s="70"/>
      <c r="W239" s="70"/>
      <c r="X239" s="70"/>
      <c r="Y239" s="70"/>
      <c r="Z239" s="70"/>
      <c r="AA239" s="70"/>
      <c r="AB239" s="70"/>
      <c r="AC239" s="70"/>
    </row>
    <row r="240" ht="15.75" customHeight="1">
      <c r="A240" s="70" t="s">
        <v>123</v>
      </c>
      <c r="B240" s="70" t="s">
        <v>1626</v>
      </c>
      <c r="C240" s="70" t="s">
        <v>86</v>
      </c>
      <c r="D240" s="70" t="s">
        <v>737</v>
      </c>
      <c r="E240" s="70" t="s">
        <v>738</v>
      </c>
      <c r="F240" s="70" t="s">
        <v>1627</v>
      </c>
      <c r="G240" s="70" t="s">
        <v>1628</v>
      </c>
      <c r="H240" s="70" t="s">
        <v>1629</v>
      </c>
      <c r="I240" s="77" t="s">
        <v>765</v>
      </c>
      <c r="J240" s="70" t="s">
        <v>766</v>
      </c>
      <c r="K240" s="70" t="s">
        <v>767</v>
      </c>
      <c r="L240" s="70" t="s">
        <v>1629</v>
      </c>
      <c r="M240" s="76" t="s">
        <v>1630</v>
      </c>
      <c r="N240" s="18" t="b">
        <v>0</v>
      </c>
      <c r="O240" s="18" t="b">
        <v>0</v>
      </c>
      <c r="P240" s="18" t="b">
        <v>0</v>
      </c>
      <c r="Q240" s="70" t="s">
        <v>319</v>
      </c>
      <c r="R240" s="77" t="s">
        <v>765</v>
      </c>
      <c r="S240" s="70" t="s">
        <v>1631</v>
      </c>
      <c r="T240" s="72"/>
      <c r="U240" s="72"/>
      <c r="V240" s="70"/>
      <c r="W240" s="70"/>
      <c r="X240" s="70"/>
      <c r="Y240" s="70"/>
      <c r="Z240" s="70"/>
      <c r="AA240" s="70"/>
      <c r="AB240" s="70"/>
      <c r="AC240" s="70"/>
    </row>
    <row r="241" ht="15.75" customHeight="1">
      <c r="A241" s="70" t="s">
        <v>123</v>
      </c>
      <c r="B241" s="70" t="s">
        <v>1632</v>
      </c>
      <c r="C241" s="70" t="s">
        <v>1633</v>
      </c>
      <c r="D241" s="70" t="s">
        <v>737</v>
      </c>
      <c r="E241" s="70" t="s">
        <v>738</v>
      </c>
      <c r="F241" s="70" t="s">
        <v>1634</v>
      </c>
      <c r="G241" s="70" t="s">
        <v>745</v>
      </c>
      <c r="H241" s="70" t="s">
        <v>1635</v>
      </c>
      <c r="I241" s="77" t="s">
        <v>765</v>
      </c>
      <c r="J241" s="70" t="s">
        <v>1597</v>
      </c>
      <c r="K241" s="70" t="s">
        <v>767</v>
      </c>
      <c r="L241" s="70" t="s">
        <v>1635</v>
      </c>
      <c r="M241" s="71" t="s">
        <v>1636</v>
      </c>
      <c r="N241" s="18" t="b">
        <v>1</v>
      </c>
      <c r="O241" s="18" t="b">
        <v>0</v>
      </c>
      <c r="P241" s="18" t="b">
        <v>0</v>
      </c>
      <c r="Q241" s="70" t="s">
        <v>319</v>
      </c>
      <c r="R241" s="77" t="s">
        <v>765</v>
      </c>
      <c r="S241" s="70" t="s">
        <v>1637</v>
      </c>
      <c r="T241" s="72"/>
      <c r="U241" s="72"/>
      <c r="V241" s="70"/>
      <c r="W241" s="70"/>
      <c r="X241" s="70"/>
      <c r="Y241" s="70"/>
      <c r="Z241" s="70"/>
      <c r="AA241" s="70"/>
      <c r="AB241" s="70"/>
      <c r="AC241" s="70"/>
    </row>
    <row r="242" ht="15.75" customHeight="1">
      <c r="A242" s="70" t="s">
        <v>123</v>
      </c>
      <c r="B242" s="70" t="s">
        <v>1638</v>
      </c>
      <c r="C242" s="70" t="s">
        <v>1639</v>
      </c>
      <c r="D242" s="70" t="s">
        <v>737</v>
      </c>
      <c r="E242" s="70" t="s">
        <v>738</v>
      </c>
      <c r="F242" s="70" t="s">
        <v>1640</v>
      </c>
      <c r="G242" s="70" t="s">
        <v>745</v>
      </c>
      <c r="H242" s="70" t="s">
        <v>1641</v>
      </c>
      <c r="I242" s="77" t="s">
        <v>765</v>
      </c>
      <c r="J242" s="70" t="s">
        <v>1642</v>
      </c>
      <c r="K242" s="70" t="s">
        <v>767</v>
      </c>
      <c r="L242" s="70" t="s">
        <v>1641</v>
      </c>
      <c r="M242" s="76" t="s">
        <v>1643</v>
      </c>
      <c r="N242" s="18" t="b">
        <v>0</v>
      </c>
      <c r="O242" s="18" t="b">
        <v>0</v>
      </c>
      <c r="P242" s="18" t="b">
        <v>0</v>
      </c>
      <c r="Q242" s="70" t="s">
        <v>319</v>
      </c>
      <c r="R242" s="77" t="s">
        <v>765</v>
      </c>
      <c r="S242" s="70" t="s">
        <v>1644</v>
      </c>
      <c r="T242" s="72"/>
      <c r="U242" s="72"/>
      <c r="V242" s="70"/>
      <c r="W242" s="70"/>
      <c r="X242" s="70"/>
      <c r="Y242" s="70"/>
      <c r="Z242" s="70"/>
      <c r="AA242" s="70"/>
      <c r="AB242" s="70"/>
      <c r="AC242" s="70"/>
    </row>
    <row r="243" ht="15.75" customHeight="1">
      <c r="A243" s="70" t="s">
        <v>123</v>
      </c>
      <c r="B243" s="70" t="s">
        <v>1645</v>
      </c>
      <c r="C243" s="70" t="s">
        <v>86</v>
      </c>
      <c r="D243" s="70" t="s">
        <v>1646</v>
      </c>
      <c r="E243" s="70" t="s">
        <v>1647</v>
      </c>
      <c r="F243" s="70" t="s">
        <v>1648</v>
      </c>
      <c r="G243" s="70" t="s">
        <v>1649</v>
      </c>
      <c r="H243" s="70" t="s">
        <v>1650</v>
      </c>
      <c r="I243" s="77" t="s">
        <v>765</v>
      </c>
      <c r="J243" s="70" t="s">
        <v>1651</v>
      </c>
      <c r="K243" s="70" t="s">
        <v>767</v>
      </c>
      <c r="L243" s="70" t="s">
        <v>1650</v>
      </c>
      <c r="M243" s="71" t="s">
        <v>1652</v>
      </c>
      <c r="N243" s="18" t="b">
        <v>0</v>
      </c>
      <c r="O243" s="18" t="b">
        <v>0</v>
      </c>
      <c r="P243" s="18" t="b">
        <v>0</v>
      </c>
      <c r="Q243" s="70" t="s">
        <v>319</v>
      </c>
      <c r="R243" s="77" t="s">
        <v>765</v>
      </c>
      <c r="S243" s="70" t="s">
        <v>1653</v>
      </c>
      <c r="T243" s="72"/>
      <c r="U243" s="72"/>
      <c r="V243" s="70"/>
      <c r="W243" s="70"/>
      <c r="X243" s="70"/>
      <c r="Y243" s="70"/>
      <c r="Z243" s="70"/>
      <c r="AA243" s="70"/>
      <c r="AB243" s="70"/>
      <c r="AC243" s="70"/>
    </row>
    <row r="244" ht="15.75" customHeight="1">
      <c r="A244" s="73" t="s">
        <v>122</v>
      </c>
      <c r="B244" s="73" t="s">
        <v>1654</v>
      </c>
      <c r="C244" s="73" t="s">
        <v>527</v>
      </c>
      <c r="D244" s="73" t="s">
        <v>738</v>
      </c>
      <c r="E244" s="73" t="s">
        <v>738</v>
      </c>
      <c r="F244" s="70"/>
      <c r="G244" s="70"/>
      <c r="H244" s="70"/>
      <c r="I244" s="70"/>
      <c r="J244" s="70"/>
      <c r="K244" s="73" t="s">
        <v>738</v>
      </c>
      <c r="L244" s="70"/>
      <c r="M244" s="76"/>
      <c r="N244" s="18" t="b">
        <v>1</v>
      </c>
      <c r="O244" s="18" t="b">
        <v>0</v>
      </c>
      <c r="P244" s="18" t="b">
        <v>1</v>
      </c>
      <c r="Q244" s="70" t="s">
        <v>319</v>
      </c>
      <c r="R244" s="70"/>
      <c r="S244" s="70"/>
      <c r="T244" s="81">
        <v>46235.0</v>
      </c>
      <c r="U244" s="72"/>
      <c r="V244" s="70"/>
      <c r="W244" s="70"/>
      <c r="X244" s="70"/>
      <c r="Y244" s="70"/>
      <c r="Z244" s="70"/>
      <c r="AA244" s="70"/>
      <c r="AB244" s="70"/>
      <c r="AC244" s="70"/>
    </row>
    <row r="245" ht="15.75" customHeight="1">
      <c r="A245" s="70" t="s">
        <v>123</v>
      </c>
      <c r="B245" s="70" t="s">
        <v>1655</v>
      </c>
      <c r="C245" s="70" t="s">
        <v>1656</v>
      </c>
      <c r="D245" s="70" t="s">
        <v>737</v>
      </c>
      <c r="E245" s="70" t="s">
        <v>738</v>
      </c>
      <c r="F245" s="70" t="s">
        <v>1657</v>
      </c>
      <c r="G245" s="70" t="s">
        <v>801</v>
      </c>
      <c r="H245" s="70" t="s">
        <v>1658</v>
      </c>
      <c r="I245" s="77" t="s">
        <v>765</v>
      </c>
      <c r="J245" s="70" t="s">
        <v>766</v>
      </c>
      <c r="K245" s="70" t="s">
        <v>767</v>
      </c>
      <c r="L245" s="70" t="s">
        <v>1658</v>
      </c>
      <c r="M245" s="76" t="s">
        <v>1659</v>
      </c>
      <c r="N245" s="18" t="b">
        <v>1</v>
      </c>
      <c r="O245" s="18" t="b">
        <v>0</v>
      </c>
      <c r="P245" s="18" t="b">
        <v>0</v>
      </c>
      <c r="Q245" s="70" t="s">
        <v>319</v>
      </c>
      <c r="R245" s="77" t="s">
        <v>765</v>
      </c>
      <c r="S245" s="70" t="s">
        <v>1660</v>
      </c>
      <c r="T245" s="72"/>
      <c r="U245" s="72"/>
      <c r="V245" s="70"/>
      <c r="W245" s="70"/>
      <c r="X245" s="70"/>
      <c r="Y245" s="70"/>
      <c r="Z245" s="70"/>
      <c r="AA245" s="70"/>
      <c r="AB245" s="70"/>
      <c r="AC245" s="70"/>
    </row>
    <row r="246" ht="63.0" customHeight="1">
      <c r="A246" s="70" t="s">
        <v>123</v>
      </c>
      <c r="B246" s="70" t="s">
        <v>1661</v>
      </c>
      <c r="C246" s="70" t="s">
        <v>86</v>
      </c>
      <c r="D246" s="70" t="s">
        <v>737</v>
      </c>
      <c r="E246" s="70" t="s">
        <v>738</v>
      </c>
      <c r="F246" s="70" t="s">
        <v>1662</v>
      </c>
      <c r="G246" s="70" t="s">
        <v>1565</v>
      </c>
      <c r="H246" s="70" t="s">
        <v>1663</v>
      </c>
      <c r="I246" s="77" t="s">
        <v>765</v>
      </c>
      <c r="J246" s="70" t="s">
        <v>1597</v>
      </c>
      <c r="K246" s="70" t="s">
        <v>767</v>
      </c>
      <c r="L246" s="70" t="s">
        <v>1663</v>
      </c>
      <c r="M246" s="71" t="s">
        <v>1664</v>
      </c>
      <c r="N246" s="18" t="b">
        <v>1</v>
      </c>
      <c r="O246" s="18" t="b">
        <v>0</v>
      </c>
      <c r="P246" s="18" t="b">
        <v>1</v>
      </c>
      <c r="Q246" s="70" t="s">
        <v>775</v>
      </c>
      <c r="R246" s="77" t="s">
        <v>765</v>
      </c>
      <c r="S246" s="70" t="s">
        <v>1665</v>
      </c>
      <c r="T246" s="72"/>
      <c r="U246" s="72"/>
      <c r="V246" s="73" t="s">
        <v>1666</v>
      </c>
      <c r="W246" s="70"/>
      <c r="X246" s="70"/>
      <c r="Y246" s="70"/>
      <c r="Z246" s="70"/>
      <c r="AA246" s="70"/>
      <c r="AB246" s="70"/>
      <c r="AC246" s="70"/>
    </row>
    <row r="247" ht="15.75" customHeight="1">
      <c r="A247" s="70" t="s">
        <v>122</v>
      </c>
      <c r="B247" s="70" t="s">
        <v>1667</v>
      </c>
      <c r="C247" s="70" t="s">
        <v>1668</v>
      </c>
      <c r="D247" s="70" t="s">
        <v>1669</v>
      </c>
      <c r="E247" s="70" t="s">
        <v>1670</v>
      </c>
      <c r="F247" s="70" t="s">
        <v>1671</v>
      </c>
      <c r="G247" s="70" t="s">
        <v>1565</v>
      </c>
      <c r="H247" s="70" t="s">
        <v>1672</v>
      </c>
      <c r="I247" s="77" t="s">
        <v>1673</v>
      </c>
      <c r="J247" s="70" t="s">
        <v>1674</v>
      </c>
      <c r="K247" s="70" t="s">
        <v>749</v>
      </c>
      <c r="L247" s="70" t="s">
        <v>1672</v>
      </c>
      <c r="M247" s="71" t="s">
        <v>1675</v>
      </c>
      <c r="N247" s="18" t="b">
        <v>0</v>
      </c>
      <c r="O247" s="18" t="b">
        <v>0</v>
      </c>
      <c r="P247" s="18" t="b">
        <v>0</v>
      </c>
      <c r="Q247" s="70" t="s">
        <v>769</v>
      </c>
      <c r="R247" s="77" t="s">
        <v>1673</v>
      </c>
      <c r="S247" s="70" t="s">
        <v>1676</v>
      </c>
      <c r="T247" s="72"/>
      <c r="U247" s="72"/>
      <c r="V247" s="70"/>
      <c r="W247" s="70"/>
      <c r="X247" s="70"/>
      <c r="Y247" s="70"/>
      <c r="Z247" s="70"/>
      <c r="AA247" s="70"/>
      <c r="AB247" s="70"/>
      <c r="AC247" s="70"/>
    </row>
    <row r="248" ht="15.75" customHeight="1">
      <c r="A248" s="70" t="s">
        <v>122</v>
      </c>
      <c r="B248" s="70" t="s">
        <v>1677</v>
      </c>
      <c r="C248" s="70" t="s">
        <v>1678</v>
      </c>
      <c r="D248" s="70" t="s">
        <v>737</v>
      </c>
      <c r="E248" s="70" t="s">
        <v>738</v>
      </c>
      <c r="F248" s="70" t="s">
        <v>1679</v>
      </c>
      <c r="G248" s="70" t="s">
        <v>1565</v>
      </c>
      <c r="H248" s="70" t="s">
        <v>1680</v>
      </c>
      <c r="I248" s="77" t="s">
        <v>803</v>
      </c>
      <c r="J248" s="70" t="s">
        <v>795</v>
      </c>
      <c r="K248" s="70" t="s">
        <v>767</v>
      </c>
      <c r="L248" s="70" t="s">
        <v>1680</v>
      </c>
      <c r="M248" s="76" t="s">
        <v>1681</v>
      </c>
      <c r="N248" s="74" t="b">
        <v>1</v>
      </c>
      <c r="O248" s="74" t="b">
        <v>0</v>
      </c>
      <c r="P248" s="74" t="b">
        <v>0</v>
      </c>
      <c r="Q248" s="70" t="s">
        <v>769</v>
      </c>
      <c r="R248" s="77" t="s">
        <v>803</v>
      </c>
      <c r="S248" s="70" t="s">
        <v>1682</v>
      </c>
      <c r="T248" s="72"/>
      <c r="U248" s="72"/>
      <c r="V248" s="70"/>
      <c r="W248" s="70"/>
      <c r="X248" s="70"/>
      <c r="Y248" s="70"/>
      <c r="Z248" s="70"/>
      <c r="AA248" s="70"/>
      <c r="AB248" s="70"/>
      <c r="AC248" s="70"/>
    </row>
    <row r="249" ht="15.75" customHeight="1">
      <c r="A249" s="70" t="s">
        <v>122</v>
      </c>
      <c r="B249" s="70" t="s">
        <v>1683</v>
      </c>
      <c r="C249" s="70" t="s">
        <v>1684</v>
      </c>
      <c r="D249" s="70" t="s">
        <v>737</v>
      </c>
      <c r="E249" s="70" t="s">
        <v>738</v>
      </c>
      <c r="F249" s="70" t="s">
        <v>1685</v>
      </c>
      <c r="G249" s="70" t="s">
        <v>801</v>
      </c>
      <c r="H249" s="70" t="s">
        <v>1686</v>
      </c>
      <c r="I249" s="77" t="s">
        <v>803</v>
      </c>
      <c r="J249" s="70" t="s">
        <v>1687</v>
      </c>
      <c r="K249" s="70" t="s">
        <v>767</v>
      </c>
      <c r="L249" s="70" t="s">
        <v>1686</v>
      </c>
      <c r="M249" s="71" t="s">
        <v>1688</v>
      </c>
      <c r="N249" s="18" t="b">
        <v>1</v>
      </c>
      <c r="O249" s="18" t="b">
        <v>0</v>
      </c>
      <c r="P249" s="18" t="b">
        <v>0</v>
      </c>
      <c r="Q249" s="70" t="s">
        <v>319</v>
      </c>
      <c r="R249" s="77" t="s">
        <v>803</v>
      </c>
      <c r="S249" s="70" t="s">
        <v>1689</v>
      </c>
      <c r="T249" s="72"/>
      <c r="U249" s="72"/>
      <c r="V249" s="70"/>
      <c r="W249" s="70"/>
      <c r="X249" s="70"/>
      <c r="Y249" s="70"/>
      <c r="Z249" s="70"/>
      <c r="AA249" s="70"/>
      <c r="AB249" s="70"/>
      <c r="AC249" s="70"/>
    </row>
    <row r="250" ht="15.75" customHeight="1">
      <c r="A250" s="70" t="s">
        <v>123</v>
      </c>
      <c r="B250" s="70" t="s">
        <v>1690</v>
      </c>
      <c r="C250" s="70" t="s">
        <v>1691</v>
      </c>
      <c r="D250" s="70" t="s">
        <v>737</v>
      </c>
      <c r="E250" s="70" t="s">
        <v>738</v>
      </c>
      <c r="F250" s="70" t="s">
        <v>1692</v>
      </c>
      <c r="G250" s="70" t="s">
        <v>801</v>
      </c>
      <c r="H250" s="70" t="s">
        <v>1693</v>
      </c>
      <c r="I250" s="77" t="s">
        <v>1694</v>
      </c>
      <c r="J250" s="70" t="s">
        <v>766</v>
      </c>
      <c r="K250" s="70" t="s">
        <v>767</v>
      </c>
      <c r="L250" s="70" t="s">
        <v>1693</v>
      </c>
      <c r="M250" s="76" t="s">
        <v>1695</v>
      </c>
      <c r="N250" s="18" t="b">
        <v>0</v>
      </c>
      <c r="O250" s="18" t="b">
        <v>0</v>
      </c>
      <c r="P250" s="18" t="b">
        <v>0</v>
      </c>
      <c r="Q250" s="70" t="s">
        <v>319</v>
      </c>
      <c r="R250" s="77" t="s">
        <v>1694</v>
      </c>
      <c r="S250" s="70" t="s">
        <v>1696</v>
      </c>
      <c r="T250" s="72"/>
      <c r="U250" s="72"/>
      <c r="V250" s="70"/>
      <c r="W250" s="70"/>
      <c r="X250" s="70"/>
      <c r="Y250" s="70"/>
      <c r="Z250" s="70"/>
      <c r="AA250" s="70"/>
      <c r="AB250" s="70"/>
      <c r="AC250" s="70"/>
    </row>
    <row r="251" ht="15.75" customHeight="1">
      <c r="A251" s="70" t="s">
        <v>123</v>
      </c>
      <c r="B251" s="70" t="s">
        <v>1697</v>
      </c>
      <c r="C251" s="70" t="s">
        <v>1698</v>
      </c>
      <c r="D251" s="70" t="s">
        <v>737</v>
      </c>
      <c r="E251" s="70" t="s">
        <v>738</v>
      </c>
      <c r="F251" s="70" t="s">
        <v>1699</v>
      </c>
      <c r="G251" s="70" t="s">
        <v>801</v>
      </c>
      <c r="H251" s="70" t="s">
        <v>1700</v>
      </c>
      <c r="I251" s="77" t="s">
        <v>803</v>
      </c>
      <c r="J251" s="70" t="s">
        <v>766</v>
      </c>
      <c r="K251" s="70" t="s">
        <v>767</v>
      </c>
      <c r="L251" s="70" t="s">
        <v>1700</v>
      </c>
      <c r="M251" s="71" t="s">
        <v>1701</v>
      </c>
      <c r="N251" s="18" t="b">
        <v>1</v>
      </c>
      <c r="O251" s="18" t="b">
        <v>0</v>
      </c>
      <c r="P251" s="18" t="b">
        <v>0</v>
      </c>
      <c r="Q251" s="70" t="s">
        <v>319</v>
      </c>
      <c r="R251" s="77" t="s">
        <v>803</v>
      </c>
      <c r="S251" s="70" t="s">
        <v>1702</v>
      </c>
      <c r="T251" s="72"/>
      <c r="U251" s="72"/>
      <c r="V251" s="70"/>
      <c r="W251" s="70"/>
      <c r="X251" s="70"/>
      <c r="Y251" s="70"/>
      <c r="Z251" s="70"/>
      <c r="AA251" s="70"/>
      <c r="AB251" s="70"/>
      <c r="AC251" s="70"/>
    </row>
    <row r="252" ht="15.75" customHeight="1">
      <c r="A252" s="70" t="s">
        <v>123</v>
      </c>
      <c r="B252" s="70" t="s">
        <v>1703</v>
      </c>
      <c r="C252" s="70" t="s">
        <v>140</v>
      </c>
      <c r="D252" s="70" t="s">
        <v>737</v>
      </c>
      <c r="E252" s="70" t="s">
        <v>738</v>
      </c>
      <c r="F252" s="70" t="s">
        <v>1704</v>
      </c>
      <c r="G252" s="70" t="s">
        <v>1565</v>
      </c>
      <c r="H252" s="70" t="s">
        <v>1705</v>
      </c>
      <c r="I252" s="77" t="s">
        <v>803</v>
      </c>
      <c r="J252" s="70" t="s">
        <v>766</v>
      </c>
      <c r="K252" s="70" t="s">
        <v>767</v>
      </c>
      <c r="L252" s="70" t="s">
        <v>1705</v>
      </c>
      <c r="M252" s="76" t="s">
        <v>1706</v>
      </c>
      <c r="N252" s="18" t="b">
        <v>1</v>
      </c>
      <c r="O252" s="18" t="b">
        <v>0</v>
      </c>
      <c r="P252" s="18" t="b">
        <v>0</v>
      </c>
      <c r="Q252" s="70" t="s">
        <v>775</v>
      </c>
      <c r="R252" s="77" t="s">
        <v>803</v>
      </c>
      <c r="S252" s="70" t="s">
        <v>1707</v>
      </c>
      <c r="T252" s="72"/>
      <c r="U252" s="72"/>
      <c r="V252" s="70"/>
      <c r="W252" s="70"/>
      <c r="X252" s="70"/>
      <c r="Y252" s="70"/>
      <c r="Z252" s="70"/>
      <c r="AA252" s="70"/>
      <c r="AB252" s="70"/>
      <c r="AC252" s="70"/>
    </row>
    <row r="253" ht="15.75" customHeight="1">
      <c r="A253" s="70" t="s">
        <v>123</v>
      </c>
      <c r="B253" s="70" t="s">
        <v>1708</v>
      </c>
      <c r="C253" s="70" t="s">
        <v>1709</v>
      </c>
      <c r="D253" s="70" t="s">
        <v>1709</v>
      </c>
      <c r="E253" s="70" t="s">
        <v>1710</v>
      </c>
      <c r="F253" s="70" t="s">
        <v>1711</v>
      </c>
      <c r="G253" s="70" t="s">
        <v>745</v>
      </c>
      <c r="H253" s="70" t="s">
        <v>1712</v>
      </c>
      <c r="I253" s="77" t="s">
        <v>1713</v>
      </c>
      <c r="J253" s="70" t="s">
        <v>1714</v>
      </c>
      <c r="K253" s="70" t="s">
        <v>749</v>
      </c>
      <c r="L253" s="70" t="s">
        <v>1712</v>
      </c>
      <c r="M253" s="76" t="s">
        <v>1715</v>
      </c>
      <c r="N253" s="18" t="b">
        <v>1</v>
      </c>
      <c r="O253" s="18" t="b">
        <v>0</v>
      </c>
      <c r="P253" s="18" t="b">
        <v>0</v>
      </c>
      <c r="Q253" s="70" t="s">
        <v>319</v>
      </c>
      <c r="R253" s="77" t="s">
        <v>1713</v>
      </c>
      <c r="S253" s="70" t="s">
        <v>1716</v>
      </c>
      <c r="T253" s="72"/>
      <c r="U253" s="72"/>
      <c r="V253" s="70"/>
      <c r="W253" s="70"/>
      <c r="X253" s="70"/>
      <c r="Y253" s="70"/>
      <c r="Z253" s="70"/>
      <c r="AA253" s="70"/>
      <c r="AB253" s="70"/>
      <c r="AC253" s="70"/>
    </row>
    <row r="254" ht="15.75" customHeight="1">
      <c r="A254" s="82" t="s">
        <v>122</v>
      </c>
      <c r="B254" s="82" t="s">
        <v>1717</v>
      </c>
      <c r="C254" s="82" t="s">
        <v>46</v>
      </c>
      <c r="D254" s="82" t="s">
        <v>1718</v>
      </c>
      <c r="E254" s="82" t="s">
        <v>1719</v>
      </c>
      <c r="F254" s="82" t="s">
        <v>1720</v>
      </c>
      <c r="G254" s="82" t="s">
        <v>1721</v>
      </c>
      <c r="H254" s="82" t="s">
        <v>1722</v>
      </c>
      <c r="I254" s="41"/>
      <c r="J254" s="82" t="s">
        <v>1723</v>
      </c>
      <c r="K254" s="82" t="s">
        <v>1724</v>
      </c>
      <c r="L254" s="82" t="s">
        <v>1725</v>
      </c>
      <c r="M254" s="83" t="s">
        <v>1726</v>
      </c>
      <c r="N254" s="18" t="b">
        <v>1</v>
      </c>
      <c r="O254" s="18" t="b">
        <v>0</v>
      </c>
      <c r="P254" s="18" t="b">
        <v>0</v>
      </c>
      <c r="Q254" s="82" t="s">
        <v>319</v>
      </c>
      <c r="R254" s="83" t="s">
        <v>1727</v>
      </c>
      <c r="S254" s="82" t="s">
        <v>1728</v>
      </c>
      <c r="T254" s="41"/>
      <c r="U254" s="41"/>
      <c r="V254" s="41"/>
      <c r="W254" s="41"/>
      <c r="X254" s="41"/>
      <c r="Y254" s="41"/>
      <c r="Z254" s="41"/>
      <c r="AA254" s="41"/>
      <c r="AB254" s="41"/>
      <c r="AC254" s="41"/>
    </row>
    <row r="255" ht="15.75" customHeight="1">
      <c r="A255" s="82" t="s">
        <v>122</v>
      </c>
      <c r="B255" s="82" t="s">
        <v>1729</v>
      </c>
      <c r="C255" s="82" t="s">
        <v>46</v>
      </c>
      <c r="D255" s="82" t="s">
        <v>1718</v>
      </c>
      <c r="E255" s="82" t="s">
        <v>1719</v>
      </c>
      <c r="F255" s="82" t="s">
        <v>1730</v>
      </c>
      <c r="G255" s="82" t="s">
        <v>1721</v>
      </c>
      <c r="H255" s="82" t="s">
        <v>1722</v>
      </c>
      <c r="I255" s="41"/>
      <c r="J255" s="82" t="s">
        <v>1723</v>
      </c>
      <c r="K255" s="82" t="s">
        <v>1724</v>
      </c>
      <c r="L255" s="82" t="s">
        <v>1731</v>
      </c>
      <c r="M255" s="83" t="s">
        <v>1732</v>
      </c>
      <c r="N255" s="18" t="b">
        <v>1</v>
      </c>
      <c r="O255" s="18" t="b">
        <v>0</v>
      </c>
      <c r="P255" s="18" t="b">
        <v>0</v>
      </c>
      <c r="Q255" s="82" t="s">
        <v>319</v>
      </c>
      <c r="R255" s="83" t="s">
        <v>1727</v>
      </c>
      <c r="S255" s="82" t="s">
        <v>1728</v>
      </c>
      <c r="T255" s="41"/>
      <c r="U255" s="41"/>
      <c r="V255" s="41"/>
      <c r="W255" s="41"/>
      <c r="X255" s="41"/>
      <c r="Y255" s="41"/>
      <c r="Z255" s="41"/>
      <c r="AA255" s="41"/>
      <c r="AB255" s="41"/>
      <c r="AC255" s="41"/>
    </row>
    <row r="256" ht="15.75" customHeight="1">
      <c r="A256" s="82" t="s">
        <v>122</v>
      </c>
      <c r="B256" s="82" t="s">
        <v>1733</v>
      </c>
      <c r="C256" s="82" t="s">
        <v>46</v>
      </c>
      <c r="D256" s="82" t="s">
        <v>1718</v>
      </c>
      <c r="E256" s="82" t="s">
        <v>1719</v>
      </c>
      <c r="F256" s="82" t="s">
        <v>1730</v>
      </c>
      <c r="G256" s="82" t="s">
        <v>1721</v>
      </c>
      <c r="H256" s="82" t="s">
        <v>1722</v>
      </c>
      <c r="I256" s="41"/>
      <c r="J256" s="82" t="s">
        <v>1723</v>
      </c>
      <c r="K256" s="82" t="s">
        <v>1724</v>
      </c>
      <c r="L256" s="82" t="s">
        <v>1731</v>
      </c>
      <c r="M256" s="83" t="s">
        <v>1734</v>
      </c>
      <c r="N256" s="18" t="b">
        <v>0</v>
      </c>
      <c r="O256" s="18" t="b">
        <v>0</v>
      </c>
      <c r="P256" s="18" t="b">
        <v>0</v>
      </c>
      <c r="Q256" s="82" t="s">
        <v>319</v>
      </c>
      <c r="R256" s="83" t="s">
        <v>1727</v>
      </c>
      <c r="S256" s="82" t="s">
        <v>1728</v>
      </c>
      <c r="T256" s="41"/>
      <c r="U256" s="41"/>
      <c r="V256" s="41"/>
      <c r="W256" s="41"/>
      <c r="X256" s="41"/>
      <c r="Y256" s="41"/>
      <c r="Z256" s="41"/>
      <c r="AA256" s="41"/>
      <c r="AB256" s="41"/>
      <c r="AC256" s="41"/>
    </row>
    <row r="257" ht="15.75" customHeight="1">
      <c r="A257" s="82" t="s">
        <v>122</v>
      </c>
      <c r="B257" s="82" t="s">
        <v>1735</v>
      </c>
      <c r="C257" s="82" t="s">
        <v>46</v>
      </c>
      <c r="D257" s="82" t="s">
        <v>1718</v>
      </c>
      <c r="E257" s="82" t="s">
        <v>1719</v>
      </c>
      <c r="F257" s="82" t="s">
        <v>1720</v>
      </c>
      <c r="G257" s="82" t="s">
        <v>1721</v>
      </c>
      <c r="H257" s="82" t="s">
        <v>1722</v>
      </c>
      <c r="I257" s="41"/>
      <c r="J257" s="82" t="s">
        <v>1723</v>
      </c>
      <c r="K257" s="82" t="s">
        <v>1724</v>
      </c>
      <c r="L257" s="82" t="s">
        <v>1725</v>
      </c>
      <c r="M257" s="83" t="s">
        <v>1736</v>
      </c>
      <c r="N257" s="18" t="b">
        <v>1</v>
      </c>
      <c r="O257" s="18" t="b">
        <v>0</v>
      </c>
      <c r="P257" s="18" t="b">
        <v>0</v>
      </c>
      <c r="Q257" s="82" t="s">
        <v>319</v>
      </c>
      <c r="R257" s="83" t="s">
        <v>1727</v>
      </c>
      <c r="S257" s="82" t="s">
        <v>1728</v>
      </c>
      <c r="T257" s="41"/>
      <c r="U257" s="41"/>
      <c r="V257" s="41"/>
      <c r="W257" s="41"/>
      <c r="X257" s="41"/>
      <c r="Y257" s="41"/>
      <c r="Z257" s="41"/>
      <c r="AA257" s="41"/>
      <c r="AB257" s="41"/>
      <c r="AC257" s="41"/>
    </row>
    <row r="258" ht="15.75" customHeight="1">
      <c r="A258" s="82" t="s">
        <v>122</v>
      </c>
      <c r="B258" s="82" t="s">
        <v>1737</v>
      </c>
      <c r="C258" s="82" t="s">
        <v>46</v>
      </c>
      <c r="D258" s="82" t="s">
        <v>1718</v>
      </c>
      <c r="E258" s="82" t="s">
        <v>1719</v>
      </c>
      <c r="F258" s="82" t="s">
        <v>1720</v>
      </c>
      <c r="G258" s="82" t="s">
        <v>1721</v>
      </c>
      <c r="H258" s="82" t="s">
        <v>1722</v>
      </c>
      <c r="I258" s="41"/>
      <c r="J258" s="82" t="s">
        <v>1723</v>
      </c>
      <c r="K258" s="82" t="s">
        <v>1724</v>
      </c>
      <c r="L258" s="82" t="s">
        <v>1738</v>
      </c>
      <c r="M258" s="83" t="s">
        <v>1739</v>
      </c>
      <c r="N258" s="18" t="b">
        <v>1</v>
      </c>
      <c r="O258" s="18" t="b">
        <v>0</v>
      </c>
      <c r="P258" s="18" t="b">
        <v>0</v>
      </c>
      <c r="Q258" s="82" t="s">
        <v>319</v>
      </c>
      <c r="R258" s="83" t="s">
        <v>1727</v>
      </c>
      <c r="S258" s="82" t="s">
        <v>1728</v>
      </c>
      <c r="T258" s="41"/>
      <c r="U258" s="41"/>
      <c r="V258" s="41"/>
      <c r="W258" s="41"/>
      <c r="X258" s="41"/>
      <c r="Y258" s="41"/>
      <c r="Z258" s="41"/>
      <c r="AA258" s="41"/>
      <c r="AB258" s="41"/>
      <c r="AC258" s="41"/>
    </row>
    <row r="259" ht="15.75" customHeight="1">
      <c r="A259" s="82" t="s">
        <v>122</v>
      </c>
      <c r="B259" s="82" t="s">
        <v>1740</v>
      </c>
      <c r="C259" s="82" t="s">
        <v>46</v>
      </c>
      <c r="D259" s="82" t="s">
        <v>1718</v>
      </c>
      <c r="E259" s="82" t="s">
        <v>1719</v>
      </c>
      <c r="F259" s="82" t="s">
        <v>1720</v>
      </c>
      <c r="G259" s="82" t="s">
        <v>1721</v>
      </c>
      <c r="H259" s="82" t="s">
        <v>1722</v>
      </c>
      <c r="I259" s="41"/>
      <c r="J259" s="82" t="s">
        <v>1723</v>
      </c>
      <c r="K259" s="82" t="s">
        <v>1724</v>
      </c>
      <c r="L259" s="82" t="s">
        <v>1738</v>
      </c>
      <c r="M259" s="83" t="s">
        <v>1741</v>
      </c>
      <c r="N259" s="18" t="b">
        <v>0</v>
      </c>
      <c r="O259" s="18" t="b">
        <v>1</v>
      </c>
      <c r="P259" s="18" t="b">
        <v>0</v>
      </c>
      <c r="Q259" s="82" t="s">
        <v>319</v>
      </c>
      <c r="R259" s="83" t="s">
        <v>1727</v>
      </c>
      <c r="S259" s="82" t="s">
        <v>1728</v>
      </c>
      <c r="T259" s="41"/>
      <c r="U259" s="41"/>
      <c r="V259" s="41"/>
      <c r="W259" s="41"/>
      <c r="X259" s="41"/>
      <c r="Y259" s="41"/>
      <c r="Z259" s="41"/>
      <c r="AA259" s="41"/>
      <c r="AB259" s="41"/>
      <c r="AC259" s="41"/>
    </row>
    <row r="260" ht="15.75" customHeight="1">
      <c r="A260" s="82" t="s">
        <v>122</v>
      </c>
      <c r="B260" s="82" t="s">
        <v>1742</v>
      </c>
      <c r="C260" s="82" t="s">
        <v>46</v>
      </c>
      <c r="D260" s="82" t="s">
        <v>1718</v>
      </c>
      <c r="E260" s="82" t="s">
        <v>1719</v>
      </c>
      <c r="F260" s="82" t="s">
        <v>1720</v>
      </c>
      <c r="G260" s="82" t="s">
        <v>1721</v>
      </c>
      <c r="H260" s="82" t="s">
        <v>1722</v>
      </c>
      <c r="I260" s="41"/>
      <c r="J260" s="82" t="s">
        <v>1723</v>
      </c>
      <c r="K260" s="82" t="s">
        <v>1724</v>
      </c>
      <c r="L260" s="82" t="s">
        <v>1743</v>
      </c>
      <c r="M260" s="83" t="s">
        <v>1744</v>
      </c>
      <c r="N260" s="74" t="b">
        <v>1</v>
      </c>
      <c r="O260" s="74" t="b">
        <v>0</v>
      </c>
      <c r="P260" s="74" t="b">
        <v>0</v>
      </c>
      <c r="Q260" s="82" t="s">
        <v>319</v>
      </c>
      <c r="R260" s="83" t="s">
        <v>1727</v>
      </c>
      <c r="S260" s="82" t="s">
        <v>1728</v>
      </c>
      <c r="T260" s="41"/>
      <c r="U260" s="41"/>
      <c r="V260" s="41"/>
      <c r="W260" s="41"/>
      <c r="X260" s="41"/>
      <c r="Y260" s="41"/>
      <c r="Z260" s="41"/>
      <c r="AA260" s="41"/>
      <c r="AB260" s="41"/>
      <c r="AC260" s="41"/>
    </row>
    <row r="261" ht="15.75" customHeight="1">
      <c r="A261" s="82" t="s">
        <v>122</v>
      </c>
      <c r="B261" s="82" t="s">
        <v>1745</v>
      </c>
      <c r="C261" s="82" t="s">
        <v>46</v>
      </c>
      <c r="D261" s="82" t="s">
        <v>1718</v>
      </c>
      <c r="E261" s="82" t="s">
        <v>1719</v>
      </c>
      <c r="F261" s="82" t="s">
        <v>1746</v>
      </c>
      <c r="G261" s="82" t="s">
        <v>1721</v>
      </c>
      <c r="H261" s="82" t="s">
        <v>1722</v>
      </c>
      <c r="I261" s="41"/>
      <c r="J261" s="82" t="s">
        <v>1723</v>
      </c>
      <c r="K261" s="82" t="s">
        <v>1724</v>
      </c>
      <c r="L261" s="82" t="s">
        <v>1747</v>
      </c>
      <c r="M261" s="83" t="s">
        <v>1748</v>
      </c>
      <c r="N261" s="74" t="b">
        <v>1</v>
      </c>
      <c r="O261" s="74" t="b">
        <v>0</v>
      </c>
      <c r="P261" s="74" t="b">
        <v>0</v>
      </c>
      <c r="Q261" s="82" t="s">
        <v>319</v>
      </c>
      <c r="R261" s="83" t="s">
        <v>1749</v>
      </c>
      <c r="S261" s="82" t="s">
        <v>1728</v>
      </c>
      <c r="T261" s="41"/>
      <c r="U261" s="41"/>
      <c r="V261" s="41"/>
      <c r="W261" s="41"/>
      <c r="X261" s="41"/>
      <c r="Y261" s="41"/>
      <c r="Z261" s="41"/>
      <c r="AA261" s="41"/>
      <c r="AB261" s="41"/>
      <c r="AC261" s="41"/>
    </row>
    <row r="262" ht="15.75" customHeight="1">
      <c r="A262" s="82" t="s">
        <v>122</v>
      </c>
      <c r="B262" s="82" t="s">
        <v>1750</v>
      </c>
      <c r="C262" s="82" t="s">
        <v>46</v>
      </c>
      <c r="D262" s="82" t="s">
        <v>1718</v>
      </c>
      <c r="E262" s="82" t="s">
        <v>1719</v>
      </c>
      <c r="F262" s="82" t="s">
        <v>1720</v>
      </c>
      <c r="G262" s="82" t="s">
        <v>1721</v>
      </c>
      <c r="H262" s="82" t="s">
        <v>1722</v>
      </c>
      <c r="I262" s="41"/>
      <c r="J262" s="82" t="s">
        <v>1723</v>
      </c>
      <c r="K262" s="82" t="s">
        <v>1724</v>
      </c>
      <c r="L262" s="82" t="s">
        <v>1751</v>
      </c>
      <c r="M262" s="83" t="s">
        <v>1752</v>
      </c>
      <c r="N262" s="74" t="b">
        <v>1</v>
      </c>
      <c r="O262" s="74" t="b">
        <v>0</v>
      </c>
      <c r="P262" s="74" t="b">
        <v>0</v>
      </c>
      <c r="Q262" s="82" t="s">
        <v>319</v>
      </c>
      <c r="R262" s="83" t="s">
        <v>1727</v>
      </c>
      <c r="S262" s="82" t="s">
        <v>1728</v>
      </c>
      <c r="T262" s="41"/>
      <c r="U262" s="41"/>
      <c r="V262" s="41"/>
      <c r="W262" s="41"/>
      <c r="X262" s="41"/>
      <c r="Y262" s="41"/>
      <c r="Z262" s="41"/>
      <c r="AA262" s="41"/>
      <c r="AB262" s="41"/>
      <c r="AC262" s="41"/>
    </row>
    <row r="263" ht="15.75" customHeight="1">
      <c r="A263" s="82" t="s">
        <v>122</v>
      </c>
      <c r="B263" s="82" t="s">
        <v>1753</v>
      </c>
      <c r="C263" s="82" t="s">
        <v>46</v>
      </c>
      <c r="D263" s="82" t="s">
        <v>1718</v>
      </c>
      <c r="E263" s="82" t="s">
        <v>1719</v>
      </c>
      <c r="F263" s="82" t="s">
        <v>1754</v>
      </c>
      <c r="G263" s="82" t="s">
        <v>1721</v>
      </c>
      <c r="H263" s="82" t="s">
        <v>1722</v>
      </c>
      <c r="I263" s="41"/>
      <c r="J263" s="82" t="s">
        <v>1723</v>
      </c>
      <c r="K263" s="82" t="s">
        <v>1724</v>
      </c>
      <c r="L263" s="82" t="s">
        <v>1755</v>
      </c>
      <c r="M263" s="83" t="s">
        <v>1756</v>
      </c>
      <c r="N263" s="74" t="b">
        <v>0</v>
      </c>
      <c r="O263" s="74" t="b">
        <v>1</v>
      </c>
      <c r="P263" s="74" t="b">
        <v>0</v>
      </c>
      <c r="Q263" s="82" t="s">
        <v>319</v>
      </c>
      <c r="R263" s="83" t="s">
        <v>1727</v>
      </c>
      <c r="S263" s="82" t="s">
        <v>1728</v>
      </c>
      <c r="T263" s="41"/>
      <c r="U263" s="41"/>
      <c r="V263" s="41"/>
      <c r="W263" s="41"/>
      <c r="X263" s="41"/>
      <c r="Y263" s="41"/>
      <c r="Z263" s="41"/>
      <c r="AA263" s="41"/>
      <c r="AB263" s="41"/>
      <c r="AC263" s="41"/>
    </row>
    <row r="264" ht="15.75" customHeight="1">
      <c r="A264" s="82" t="s">
        <v>122</v>
      </c>
      <c r="B264" s="82" t="s">
        <v>1757</v>
      </c>
      <c r="C264" s="82" t="s">
        <v>46</v>
      </c>
      <c r="D264" s="82" t="s">
        <v>1718</v>
      </c>
      <c r="E264" s="82" t="s">
        <v>1719</v>
      </c>
      <c r="F264" s="82" t="s">
        <v>1754</v>
      </c>
      <c r="G264" s="82" t="s">
        <v>1721</v>
      </c>
      <c r="H264" s="82" t="s">
        <v>1722</v>
      </c>
      <c r="I264" s="41"/>
      <c r="J264" s="82" t="s">
        <v>1723</v>
      </c>
      <c r="K264" s="82" t="s">
        <v>1724</v>
      </c>
      <c r="L264" s="82" t="s">
        <v>1758</v>
      </c>
      <c r="M264" s="83" t="s">
        <v>1759</v>
      </c>
      <c r="N264" s="74" t="b">
        <v>0</v>
      </c>
      <c r="O264" s="74" t="b">
        <v>0</v>
      </c>
      <c r="P264" s="74" t="b">
        <v>0</v>
      </c>
      <c r="Q264" s="82" t="s">
        <v>319</v>
      </c>
      <c r="R264" s="83" t="s">
        <v>1727</v>
      </c>
      <c r="S264" s="82" t="s">
        <v>1728</v>
      </c>
      <c r="T264" s="41"/>
      <c r="U264" s="41"/>
      <c r="V264" s="41"/>
      <c r="W264" s="41"/>
      <c r="X264" s="41"/>
      <c r="Y264" s="41"/>
      <c r="Z264" s="41"/>
      <c r="AA264" s="41"/>
      <c r="AB264" s="41"/>
      <c r="AC264" s="41"/>
    </row>
    <row r="265" ht="15.75" customHeight="1">
      <c r="A265" s="82" t="s">
        <v>122</v>
      </c>
      <c r="B265" s="82" t="s">
        <v>1760</v>
      </c>
      <c r="C265" s="82" t="s">
        <v>46</v>
      </c>
      <c r="D265" s="82" t="s">
        <v>1718</v>
      </c>
      <c r="E265" s="82" t="s">
        <v>1719</v>
      </c>
      <c r="F265" s="82" t="s">
        <v>1754</v>
      </c>
      <c r="G265" s="82" t="s">
        <v>1721</v>
      </c>
      <c r="H265" s="82" t="s">
        <v>1722</v>
      </c>
      <c r="I265" s="41"/>
      <c r="J265" s="82" t="s">
        <v>1723</v>
      </c>
      <c r="K265" s="82" t="s">
        <v>1724</v>
      </c>
      <c r="L265" s="82" t="s">
        <v>1761</v>
      </c>
      <c r="M265" s="83" t="s">
        <v>1762</v>
      </c>
      <c r="N265" s="74" t="b">
        <v>0</v>
      </c>
      <c r="O265" s="74" t="b">
        <v>0</v>
      </c>
      <c r="P265" s="74" t="b">
        <v>0</v>
      </c>
      <c r="Q265" s="82" t="s">
        <v>319</v>
      </c>
      <c r="R265" s="83" t="s">
        <v>1727</v>
      </c>
      <c r="S265" s="82" t="s">
        <v>1728</v>
      </c>
      <c r="T265" s="41"/>
      <c r="U265" s="41"/>
      <c r="V265" s="41"/>
      <c r="W265" s="41"/>
      <c r="X265" s="41"/>
      <c r="Y265" s="41"/>
      <c r="Z265" s="41"/>
      <c r="AA265" s="41"/>
      <c r="AB265" s="41"/>
      <c r="AC265" s="41"/>
    </row>
    <row r="266" ht="15.75" customHeight="1">
      <c r="A266" s="82" t="s">
        <v>122</v>
      </c>
      <c r="B266" s="82" t="s">
        <v>1763</v>
      </c>
      <c r="C266" s="82" t="s">
        <v>46</v>
      </c>
      <c r="D266" s="82" t="s">
        <v>1718</v>
      </c>
      <c r="E266" s="82" t="s">
        <v>1719</v>
      </c>
      <c r="F266" s="82" t="s">
        <v>1720</v>
      </c>
      <c r="G266" s="82" t="s">
        <v>1721</v>
      </c>
      <c r="H266" s="82" t="s">
        <v>1722</v>
      </c>
      <c r="I266" s="41"/>
      <c r="J266" s="82" t="s">
        <v>1723</v>
      </c>
      <c r="K266" s="82" t="s">
        <v>1724</v>
      </c>
      <c r="L266" s="82" t="s">
        <v>1764</v>
      </c>
      <c r="M266" s="83" t="s">
        <v>1765</v>
      </c>
      <c r="N266" s="74" t="b">
        <v>0</v>
      </c>
      <c r="O266" s="74" t="b">
        <v>0</v>
      </c>
      <c r="P266" s="74" t="b">
        <v>0</v>
      </c>
      <c r="Q266" s="82" t="s">
        <v>319</v>
      </c>
      <c r="R266" s="83" t="s">
        <v>1727</v>
      </c>
      <c r="S266" s="82" t="s">
        <v>1728</v>
      </c>
      <c r="T266" s="41"/>
      <c r="U266" s="41"/>
      <c r="V266" s="41"/>
      <c r="W266" s="41"/>
      <c r="X266" s="41"/>
      <c r="Y266" s="41"/>
      <c r="Z266" s="41"/>
      <c r="AA266" s="41"/>
      <c r="AB266" s="41"/>
      <c r="AC266" s="41"/>
    </row>
    <row r="267" ht="15.75" customHeight="1">
      <c r="A267" s="82" t="s">
        <v>122</v>
      </c>
      <c r="B267" s="82" t="s">
        <v>1766</v>
      </c>
      <c r="C267" s="82" t="s">
        <v>46</v>
      </c>
      <c r="D267" s="82" t="s">
        <v>1718</v>
      </c>
      <c r="E267" s="82" t="s">
        <v>1719</v>
      </c>
      <c r="F267" s="82" t="s">
        <v>1720</v>
      </c>
      <c r="G267" s="82" t="s">
        <v>1721</v>
      </c>
      <c r="H267" s="82" t="s">
        <v>1722</v>
      </c>
      <c r="I267" s="41"/>
      <c r="J267" s="82" t="s">
        <v>1723</v>
      </c>
      <c r="K267" s="82" t="s">
        <v>1724</v>
      </c>
      <c r="L267" s="82" t="s">
        <v>1767</v>
      </c>
      <c r="M267" s="83" t="s">
        <v>1768</v>
      </c>
      <c r="N267" s="74" t="b">
        <v>0</v>
      </c>
      <c r="O267" s="74" t="b">
        <v>0</v>
      </c>
      <c r="P267" s="74" t="b">
        <v>0</v>
      </c>
      <c r="Q267" s="82" t="s">
        <v>319</v>
      </c>
      <c r="R267" s="83" t="s">
        <v>1727</v>
      </c>
      <c r="S267" s="82" t="s">
        <v>1728</v>
      </c>
      <c r="T267" s="41"/>
      <c r="U267" s="41"/>
      <c r="V267" s="41"/>
      <c r="W267" s="41"/>
      <c r="X267" s="41"/>
      <c r="Y267" s="41"/>
      <c r="Z267" s="41"/>
      <c r="AA267" s="41"/>
      <c r="AB267" s="41"/>
      <c r="AC267" s="41"/>
    </row>
    <row r="268" ht="15.75" customHeight="1">
      <c r="A268" s="82" t="s">
        <v>122</v>
      </c>
      <c r="B268" s="82" t="s">
        <v>1769</v>
      </c>
      <c r="C268" s="82" t="s">
        <v>46</v>
      </c>
      <c r="D268" s="82" t="s">
        <v>1718</v>
      </c>
      <c r="E268" s="82" t="s">
        <v>1719</v>
      </c>
      <c r="F268" s="82" t="s">
        <v>1720</v>
      </c>
      <c r="G268" s="82" t="s">
        <v>1721</v>
      </c>
      <c r="H268" s="82" t="s">
        <v>1722</v>
      </c>
      <c r="I268" s="41"/>
      <c r="J268" s="82" t="s">
        <v>1723</v>
      </c>
      <c r="K268" s="82" t="s">
        <v>1724</v>
      </c>
      <c r="L268" s="82" t="s">
        <v>1770</v>
      </c>
      <c r="M268" s="83" t="s">
        <v>1771</v>
      </c>
      <c r="N268" s="74" t="b">
        <v>0</v>
      </c>
      <c r="O268" s="74" t="b">
        <v>0</v>
      </c>
      <c r="P268" s="74" t="b">
        <v>0</v>
      </c>
      <c r="Q268" s="82" t="s">
        <v>319</v>
      </c>
      <c r="R268" s="83" t="s">
        <v>1727</v>
      </c>
      <c r="S268" s="82" t="s">
        <v>1728</v>
      </c>
      <c r="T268" s="41"/>
      <c r="U268" s="41"/>
      <c r="V268" s="41"/>
      <c r="W268" s="41"/>
      <c r="X268" s="41"/>
      <c r="Y268" s="41"/>
      <c r="Z268" s="41"/>
      <c r="AA268" s="41"/>
      <c r="AB268" s="41"/>
      <c r="AC268" s="41"/>
    </row>
    <row r="269" ht="15.75" customHeight="1">
      <c r="A269" s="82" t="s">
        <v>122</v>
      </c>
      <c r="B269" s="82" t="s">
        <v>1772</v>
      </c>
      <c r="C269" s="82" t="s">
        <v>46</v>
      </c>
      <c r="D269" s="82" t="s">
        <v>1718</v>
      </c>
      <c r="E269" s="82" t="s">
        <v>1719</v>
      </c>
      <c r="F269" s="82" t="s">
        <v>1720</v>
      </c>
      <c r="G269" s="82" t="s">
        <v>1721</v>
      </c>
      <c r="H269" s="82" t="s">
        <v>1722</v>
      </c>
      <c r="I269" s="41"/>
      <c r="J269" s="82" t="s">
        <v>1723</v>
      </c>
      <c r="K269" s="82" t="s">
        <v>1724</v>
      </c>
      <c r="L269" s="82" t="s">
        <v>1764</v>
      </c>
      <c r="M269" s="83" t="s">
        <v>1773</v>
      </c>
      <c r="N269" s="74" t="b">
        <v>0</v>
      </c>
      <c r="O269" s="74" t="b">
        <v>0</v>
      </c>
      <c r="P269" s="74" t="b">
        <v>0</v>
      </c>
      <c r="Q269" s="82" t="s">
        <v>319</v>
      </c>
      <c r="R269" s="83" t="s">
        <v>1727</v>
      </c>
      <c r="S269" s="82" t="s">
        <v>1728</v>
      </c>
      <c r="T269" s="41"/>
      <c r="U269" s="41"/>
      <c r="V269" s="41"/>
      <c r="W269" s="41"/>
      <c r="X269" s="41"/>
      <c r="Y269" s="41"/>
      <c r="Z269" s="41"/>
      <c r="AA269" s="41"/>
      <c r="AB269" s="41"/>
      <c r="AC269" s="41"/>
    </row>
    <row r="270" ht="15.75" customHeight="1">
      <c r="A270" s="82" t="s">
        <v>122</v>
      </c>
      <c r="B270" s="82" t="s">
        <v>1774</v>
      </c>
      <c r="C270" s="82" t="s">
        <v>46</v>
      </c>
      <c r="D270" s="82" t="s">
        <v>1718</v>
      </c>
      <c r="E270" s="82" t="s">
        <v>1719</v>
      </c>
      <c r="F270" s="82" t="s">
        <v>1754</v>
      </c>
      <c r="G270" s="82" t="s">
        <v>1721</v>
      </c>
      <c r="H270" s="82" t="s">
        <v>1722</v>
      </c>
      <c r="I270" s="41"/>
      <c r="J270" s="82" t="s">
        <v>1723</v>
      </c>
      <c r="K270" s="82" t="s">
        <v>1724</v>
      </c>
      <c r="L270" s="82" t="s">
        <v>1775</v>
      </c>
      <c r="M270" s="83" t="s">
        <v>1776</v>
      </c>
      <c r="N270" s="74" t="b">
        <v>0</v>
      </c>
      <c r="O270" s="74" t="b">
        <v>0</v>
      </c>
      <c r="P270" s="74" t="b">
        <v>0</v>
      </c>
      <c r="Q270" s="82" t="s">
        <v>319</v>
      </c>
      <c r="R270" s="83" t="s">
        <v>1727</v>
      </c>
      <c r="S270" s="82" t="s">
        <v>1728</v>
      </c>
      <c r="T270" s="41"/>
      <c r="U270" s="41"/>
      <c r="V270" s="41"/>
      <c r="W270" s="41"/>
      <c r="X270" s="41"/>
      <c r="Y270" s="41"/>
      <c r="Z270" s="41"/>
      <c r="AA270" s="41"/>
      <c r="AB270" s="41"/>
      <c r="AC270" s="41"/>
    </row>
    <row r="271" ht="15.75" customHeight="1">
      <c r="A271" s="82" t="s">
        <v>122</v>
      </c>
      <c r="B271" s="82" t="s">
        <v>1777</v>
      </c>
      <c r="C271" s="82" t="s">
        <v>46</v>
      </c>
      <c r="D271" s="82" t="s">
        <v>1718</v>
      </c>
      <c r="E271" s="82" t="s">
        <v>1719</v>
      </c>
      <c r="F271" s="82" t="s">
        <v>1754</v>
      </c>
      <c r="G271" s="82" t="s">
        <v>1721</v>
      </c>
      <c r="H271" s="82" t="s">
        <v>1722</v>
      </c>
      <c r="I271" s="41"/>
      <c r="J271" s="82" t="s">
        <v>1723</v>
      </c>
      <c r="K271" s="82" t="s">
        <v>1724</v>
      </c>
      <c r="L271" s="82" t="s">
        <v>1778</v>
      </c>
      <c r="M271" s="83" t="s">
        <v>1779</v>
      </c>
      <c r="N271" s="74" t="b">
        <v>0</v>
      </c>
      <c r="O271" s="74" t="b">
        <v>0</v>
      </c>
      <c r="P271" s="74" t="b">
        <v>0</v>
      </c>
      <c r="Q271" s="82" t="s">
        <v>319</v>
      </c>
      <c r="R271" s="83" t="s">
        <v>1727</v>
      </c>
      <c r="S271" s="82" t="s">
        <v>1728</v>
      </c>
      <c r="T271" s="41"/>
      <c r="U271" s="41"/>
      <c r="V271" s="41"/>
      <c r="W271" s="41"/>
      <c r="X271" s="41"/>
      <c r="Y271" s="41"/>
      <c r="Z271" s="41"/>
      <c r="AA271" s="41"/>
      <c r="AB271" s="41"/>
      <c r="AC271" s="41"/>
    </row>
    <row r="272" ht="15.75" customHeight="1">
      <c r="A272" s="82" t="s">
        <v>122</v>
      </c>
      <c r="B272" s="82" t="s">
        <v>1780</v>
      </c>
      <c r="C272" s="82" t="s">
        <v>46</v>
      </c>
      <c r="D272" s="82" t="s">
        <v>1718</v>
      </c>
      <c r="E272" s="82" t="s">
        <v>1719</v>
      </c>
      <c r="F272" s="82" t="s">
        <v>1754</v>
      </c>
      <c r="G272" s="82" t="s">
        <v>1721</v>
      </c>
      <c r="H272" s="82" t="s">
        <v>1722</v>
      </c>
      <c r="I272" s="41"/>
      <c r="J272" s="82" t="s">
        <v>1723</v>
      </c>
      <c r="K272" s="82" t="s">
        <v>1724</v>
      </c>
      <c r="L272" s="82" t="s">
        <v>1781</v>
      </c>
      <c r="M272" s="83" t="s">
        <v>1782</v>
      </c>
      <c r="N272" s="74" t="b">
        <v>0</v>
      </c>
      <c r="O272" s="74" t="b">
        <v>0</v>
      </c>
      <c r="P272" s="74" t="b">
        <v>0</v>
      </c>
      <c r="Q272" s="82" t="s">
        <v>319</v>
      </c>
      <c r="R272" s="83" t="s">
        <v>1727</v>
      </c>
      <c r="S272" s="82" t="s">
        <v>1728</v>
      </c>
      <c r="T272" s="41"/>
      <c r="U272" s="41"/>
      <c r="V272" s="41"/>
      <c r="W272" s="41"/>
      <c r="X272" s="41"/>
      <c r="Y272" s="41"/>
      <c r="Z272" s="41"/>
      <c r="AA272" s="41"/>
      <c r="AB272" s="41"/>
      <c r="AC272" s="41"/>
    </row>
    <row r="273" ht="15.75" customHeight="1">
      <c r="A273" s="82" t="s">
        <v>122</v>
      </c>
      <c r="B273" s="82" t="s">
        <v>1783</v>
      </c>
      <c r="C273" s="82" t="s">
        <v>46</v>
      </c>
      <c r="D273" s="82" t="s">
        <v>1718</v>
      </c>
      <c r="E273" s="82" t="s">
        <v>1719</v>
      </c>
      <c r="F273" s="82" t="s">
        <v>1720</v>
      </c>
      <c r="G273" s="82" t="s">
        <v>1721</v>
      </c>
      <c r="H273" s="82" t="s">
        <v>1722</v>
      </c>
      <c r="I273" s="41"/>
      <c r="J273" s="82" t="s">
        <v>1723</v>
      </c>
      <c r="K273" s="82" t="s">
        <v>1724</v>
      </c>
      <c r="L273" s="82" t="s">
        <v>1738</v>
      </c>
      <c r="M273" s="83" t="s">
        <v>1784</v>
      </c>
      <c r="N273" s="74" t="b">
        <v>0</v>
      </c>
      <c r="O273" s="74" t="b">
        <v>0</v>
      </c>
      <c r="P273" s="74" t="b">
        <v>0</v>
      </c>
      <c r="Q273" s="82" t="s">
        <v>319</v>
      </c>
      <c r="R273" s="83" t="s">
        <v>1727</v>
      </c>
      <c r="S273" s="82" t="s">
        <v>1728</v>
      </c>
      <c r="T273" s="41"/>
      <c r="U273" s="41"/>
      <c r="V273" s="41"/>
      <c r="W273" s="41"/>
      <c r="X273" s="41"/>
      <c r="Y273" s="41"/>
      <c r="Z273" s="41"/>
      <c r="AA273" s="41"/>
      <c r="AB273" s="41"/>
      <c r="AC273" s="41"/>
    </row>
    <row r="274" ht="15.75" customHeight="1">
      <c r="A274" s="82" t="s">
        <v>122</v>
      </c>
      <c r="B274" s="82" t="s">
        <v>1785</v>
      </c>
      <c r="C274" s="82" t="s">
        <v>46</v>
      </c>
      <c r="D274" s="82" t="s">
        <v>1718</v>
      </c>
      <c r="E274" s="82" t="s">
        <v>1719</v>
      </c>
      <c r="F274" s="82" t="s">
        <v>1720</v>
      </c>
      <c r="G274" s="82" t="s">
        <v>1721</v>
      </c>
      <c r="H274" s="82" t="s">
        <v>1722</v>
      </c>
      <c r="I274" s="41"/>
      <c r="J274" s="82" t="s">
        <v>1723</v>
      </c>
      <c r="K274" s="82" t="s">
        <v>1724</v>
      </c>
      <c r="L274" s="82" t="s">
        <v>1738</v>
      </c>
      <c r="M274" s="83" t="s">
        <v>1786</v>
      </c>
      <c r="N274" s="74" t="b">
        <v>0</v>
      </c>
      <c r="O274" s="74" t="b">
        <v>0</v>
      </c>
      <c r="P274" s="74" t="b">
        <v>0</v>
      </c>
      <c r="Q274" s="82" t="s">
        <v>319</v>
      </c>
      <c r="R274" s="83" t="s">
        <v>1727</v>
      </c>
      <c r="S274" s="82" t="s">
        <v>1728</v>
      </c>
      <c r="T274" s="41"/>
      <c r="U274" s="41"/>
      <c r="V274" s="41"/>
      <c r="W274" s="41"/>
      <c r="X274" s="41"/>
      <c r="Y274" s="41"/>
      <c r="Z274" s="41"/>
      <c r="AA274" s="41"/>
      <c r="AB274" s="41"/>
      <c r="AC274" s="41"/>
    </row>
    <row r="275" ht="15.75" customHeight="1">
      <c r="A275" s="82" t="s">
        <v>122</v>
      </c>
      <c r="B275" s="82" t="s">
        <v>1787</v>
      </c>
      <c r="C275" s="82" t="s">
        <v>46</v>
      </c>
      <c r="D275" s="82" t="s">
        <v>1718</v>
      </c>
      <c r="E275" s="82" t="s">
        <v>1719</v>
      </c>
      <c r="F275" s="82" t="s">
        <v>1720</v>
      </c>
      <c r="G275" s="82" t="s">
        <v>1721</v>
      </c>
      <c r="H275" s="82" t="s">
        <v>1722</v>
      </c>
      <c r="I275" s="41"/>
      <c r="J275" s="82" t="s">
        <v>1723</v>
      </c>
      <c r="K275" s="82" t="s">
        <v>1724</v>
      </c>
      <c r="L275" s="82" t="s">
        <v>1788</v>
      </c>
      <c r="M275" s="83" t="s">
        <v>1789</v>
      </c>
      <c r="N275" s="74" t="b">
        <v>0</v>
      </c>
      <c r="O275" s="74" t="b">
        <v>0</v>
      </c>
      <c r="P275" s="74" t="b">
        <v>0</v>
      </c>
      <c r="Q275" s="82" t="s">
        <v>319</v>
      </c>
      <c r="R275" s="83" t="s">
        <v>1727</v>
      </c>
      <c r="S275" s="82" t="s">
        <v>1728</v>
      </c>
      <c r="T275" s="41"/>
      <c r="U275" s="41"/>
      <c r="V275" s="41"/>
      <c r="W275" s="41"/>
      <c r="X275" s="41"/>
      <c r="Y275" s="41"/>
      <c r="Z275" s="41"/>
      <c r="AA275" s="41"/>
      <c r="AB275" s="41"/>
      <c r="AC275" s="41"/>
    </row>
    <row r="276" ht="15.75" customHeight="1">
      <c r="A276" s="82" t="s">
        <v>122</v>
      </c>
      <c r="B276" s="82" t="s">
        <v>1790</v>
      </c>
      <c r="C276" s="82" t="s">
        <v>46</v>
      </c>
      <c r="D276" s="82" t="s">
        <v>1718</v>
      </c>
      <c r="E276" s="82" t="s">
        <v>1719</v>
      </c>
      <c r="F276" s="82" t="s">
        <v>1720</v>
      </c>
      <c r="G276" s="82" t="s">
        <v>1721</v>
      </c>
      <c r="H276" s="82" t="s">
        <v>1722</v>
      </c>
      <c r="I276" s="41"/>
      <c r="J276" s="82" t="s">
        <v>1723</v>
      </c>
      <c r="K276" s="82" t="s">
        <v>1724</v>
      </c>
      <c r="L276" s="82" t="s">
        <v>1791</v>
      </c>
      <c r="M276" s="83" t="s">
        <v>1792</v>
      </c>
      <c r="N276" s="74" t="b">
        <v>0</v>
      </c>
      <c r="O276" s="74" t="b">
        <v>0</v>
      </c>
      <c r="P276" s="74" t="b">
        <v>0</v>
      </c>
      <c r="Q276" s="82" t="s">
        <v>319</v>
      </c>
      <c r="R276" s="83" t="s">
        <v>1727</v>
      </c>
      <c r="S276" s="82" t="s">
        <v>1728</v>
      </c>
      <c r="T276" s="41"/>
      <c r="U276" s="41"/>
      <c r="V276" s="41"/>
      <c r="W276" s="41"/>
      <c r="X276" s="41"/>
      <c r="Y276" s="41"/>
      <c r="Z276" s="41"/>
      <c r="AA276" s="41"/>
      <c r="AB276" s="41"/>
      <c r="AC276" s="41"/>
    </row>
    <row r="277" ht="15.75" customHeight="1">
      <c r="A277" s="82" t="s">
        <v>122</v>
      </c>
      <c r="B277" s="82" t="s">
        <v>1793</v>
      </c>
      <c r="C277" s="82" t="s">
        <v>46</v>
      </c>
      <c r="D277" s="82" t="s">
        <v>1718</v>
      </c>
      <c r="E277" s="82" t="s">
        <v>1719</v>
      </c>
      <c r="F277" s="82" t="s">
        <v>1794</v>
      </c>
      <c r="G277" s="82" t="s">
        <v>1721</v>
      </c>
      <c r="H277" s="82" t="s">
        <v>1722</v>
      </c>
      <c r="I277" s="41"/>
      <c r="J277" s="82" t="s">
        <v>1723</v>
      </c>
      <c r="K277" s="82" t="s">
        <v>1724</v>
      </c>
      <c r="L277" s="82" t="s">
        <v>1795</v>
      </c>
      <c r="M277" s="83" t="s">
        <v>1796</v>
      </c>
      <c r="N277" s="74" t="b">
        <v>0</v>
      </c>
      <c r="O277" s="74" t="b">
        <v>0</v>
      </c>
      <c r="P277" s="74" t="b">
        <v>0</v>
      </c>
      <c r="Q277" s="82" t="s">
        <v>319</v>
      </c>
      <c r="R277" s="83" t="s">
        <v>1727</v>
      </c>
      <c r="S277" s="82" t="s">
        <v>1728</v>
      </c>
      <c r="T277" s="41"/>
      <c r="U277" s="41"/>
      <c r="V277" s="41"/>
      <c r="W277" s="41"/>
      <c r="X277" s="41"/>
      <c r="Y277" s="41"/>
      <c r="Z277" s="41"/>
      <c r="AA277" s="41"/>
      <c r="AB277" s="41"/>
      <c r="AC277" s="41"/>
    </row>
    <row r="278" ht="15.75" customHeight="1">
      <c r="A278" s="82" t="s">
        <v>122</v>
      </c>
      <c r="B278" s="82" t="s">
        <v>1797</v>
      </c>
      <c r="C278" s="82" t="s">
        <v>46</v>
      </c>
      <c r="D278" s="82" t="s">
        <v>1718</v>
      </c>
      <c r="E278" s="82" t="s">
        <v>1719</v>
      </c>
      <c r="F278" s="82" t="s">
        <v>1720</v>
      </c>
      <c r="G278" s="82" t="s">
        <v>1721</v>
      </c>
      <c r="H278" s="82" t="s">
        <v>1722</v>
      </c>
      <c r="I278" s="41"/>
      <c r="J278" s="82" t="s">
        <v>1723</v>
      </c>
      <c r="K278" s="82" t="s">
        <v>1724</v>
      </c>
      <c r="L278" s="82" t="s">
        <v>1725</v>
      </c>
      <c r="M278" s="83" t="s">
        <v>1798</v>
      </c>
      <c r="N278" s="74" t="b">
        <v>0</v>
      </c>
      <c r="O278" s="74" t="b">
        <v>0</v>
      </c>
      <c r="P278" s="74" t="b">
        <v>0</v>
      </c>
      <c r="Q278" s="82" t="s">
        <v>319</v>
      </c>
      <c r="R278" s="83" t="s">
        <v>1727</v>
      </c>
      <c r="S278" s="82" t="s">
        <v>1728</v>
      </c>
      <c r="T278" s="41"/>
      <c r="U278" s="41"/>
      <c r="V278" s="41"/>
      <c r="W278" s="41"/>
      <c r="X278" s="41"/>
      <c r="Y278" s="41"/>
      <c r="Z278" s="41"/>
      <c r="AA278" s="41"/>
      <c r="AB278" s="41"/>
      <c r="AC278" s="41"/>
    </row>
    <row r="279" ht="15.75" customHeight="1">
      <c r="A279" s="82" t="s">
        <v>122</v>
      </c>
      <c r="B279" s="82" t="s">
        <v>1799</v>
      </c>
      <c r="C279" s="82" t="s">
        <v>46</v>
      </c>
      <c r="D279" s="82" t="s">
        <v>1718</v>
      </c>
      <c r="E279" s="82" t="s">
        <v>1719</v>
      </c>
      <c r="F279" s="82" t="s">
        <v>1730</v>
      </c>
      <c r="G279" s="82" t="s">
        <v>1721</v>
      </c>
      <c r="H279" s="82" t="s">
        <v>1722</v>
      </c>
      <c r="I279" s="41"/>
      <c r="J279" s="82" t="s">
        <v>1723</v>
      </c>
      <c r="K279" s="82" t="s">
        <v>1724</v>
      </c>
      <c r="L279" s="82" t="s">
        <v>1800</v>
      </c>
      <c r="M279" s="83" t="s">
        <v>1801</v>
      </c>
      <c r="N279" s="74" t="b">
        <v>0</v>
      </c>
      <c r="O279" s="74" t="b">
        <v>0</v>
      </c>
      <c r="P279" s="74" t="b">
        <v>0</v>
      </c>
      <c r="Q279" s="82" t="s">
        <v>319</v>
      </c>
      <c r="R279" s="83" t="s">
        <v>1727</v>
      </c>
      <c r="S279" s="82" t="s">
        <v>1728</v>
      </c>
      <c r="T279" s="41"/>
      <c r="U279" s="41"/>
      <c r="V279" s="41"/>
      <c r="W279" s="41"/>
      <c r="X279" s="41"/>
      <c r="Y279" s="41"/>
      <c r="Z279" s="41"/>
      <c r="AA279" s="41"/>
      <c r="AB279" s="41"/>
      <c r="AC279" s="41"/>
    </row>
    <row r="280" ht="15.75" customHeight="1">
      <c r="A280" s="82" t="s">
        <v>122</v>
      </c>
      <c r="B280" s="82" t="s">
        <v>1802</v>
      </c>
      <c r="C280" s="82" t="s">
        <v>46</v>
      </c>
      <c r="D280" s="82" t="s">
        <v>1718</v>
      </c>
      <c r="E280" s="82" t="s">
        <v>1719</v>
      </c>
      <c r="F280" s="82" t="s">
        <v>1720</v>
      </c>
      <c r="G280" s="82" t="s">
        <v>1721</v>
      </c>
      <c r="H280" s="82" t="s">
        <v>1722</v>
      </c>
      <c r="I280" s="41"/>
      <c r="J280" s="82" t="s">
        <v>1723</v>
      </c>
      <c r="K280" s="82" t="s">
        <v>1724</v>
      </c>
      <c r="L280" s="82" t="s">
        <v>1764</v>
      </c>
      <c r="M280" s="83" t="s">
        <v>1803</v>
      </c>
      <c r="N280" s="74" t="b">
        <v>0</v>
      </c>
      <c r="O280" s="74" t="b">
        <v>0</v>
      </c>
      <c r="P280" s="74" t="b">
        <v>0</v>
      </c>
      <c r="Q280" s="82" t="s">
        <v>319</v>
      </c>
      <c r="R280" s="83" t="s">
        <v>1727</v>
      </c>
      <c r="S280" s="82" t="s">
        <v>1728</v>
      </c>
      <c r="T280" s="41"/>
      <c r="U280" s="41"/>
      <c r="V280" s="41"/>
      <c r="W280" s="41"/>
      <c r="X280" s="41"/>
      <c r="Y280" s="41"/>
      <c r="Z280" s="41"/>
      <c r="AA280" s="41"/>
      <c r="AB280" s="41"/>
      <c r="AC280" s="41"/>
    </row>
    <row r="281" ht="15.75" customHeight="1">
      <c r="A281" s="82" t="s">
        <v>122</v>
      </c>
      <c r="B281" s="82" t="s">
        <v>1804</v>
      </c>
      <c r="C281" s="82" t="s">
        <v>46</v>
      </c>
      <c r="D281" s="82" t="s">
        <v>1718</v>
      </c>
      <c r="E281" s="82" t="s">
        <v>1719</v>
      </c>
      <c r="F281" s="82" t="s">
        <v>1730</v>
      </c>
      <c r="G281" s="82" t="s">
        <v>1721</v>
      </c>
      <c r="H281" s="82" t="s">
        <v>1722</v>
      </c>
      <c r="I281" s="41"/>
      <c r="J281" s="82" t="s">
        <v>1723</v>
      </c>
      <c r="K281" s="82" t="s">
        <v>1724</v>
      </c>
      <c r="L281" s="82" t="s">
        <v>1731</v>
      </c>
      <c r="M281" s="83" t="s">
        <v>1805</v>
      </c>
      <c r="N281" s="74" t="b">
        <v>0</v>
      </c>
      <c r="O281" s="74" t="b">
        <v>0</v>
      </c>
      <c r="P281" s="74" t="b">
        <v>0</v>
      </c>
      <c r="Q281" s="82" t="s">
        <v>319</v>
      </c>
      <c r="R281" s="83" t="s">
        <v>1727</v>
      </c>
      <c r="S281" s="82" t="s">
        <v>1728</v>
      </c>
      <c r="T281" s="41"/>
      <c r="U281" s="41"/>
      <c r="V281" s="41"/>
      <c r="W281" s="41"/>
      <c r="X281" s="41"/>
      <c r="Y281" s="41"/>
      <c r="Z281" s="41"/>
      <c r="AA281" s="41"/>
      <c r="AB281" s="41"/>
      <c r="AC281" s="41"/>
    </row>
    <row r="282" ht="15.75" customHeight="1">
      <c r="A282" s="82" t="s">
        <v>122</v>
      </c>
      <c r="B282" s="82" t="s">
        <v>1806</v>
      </c>
      <c r="C282" s="82" t="s">
        <v>46</v>
      </c>
      <c r="D282" s="82" t="s">
        <v>1718</v>
      </c>
      <c r="E282" s="82" t="s">
        <v>1719</v>
      </c>
      <c r="F282" s="82" t="s">
        <v>1720</v>
      </c>
      <c r="G282" s="82" t="s">
        <v>1721</v>
      </c>
      <c r="H282" s="82" t="s">
        <v>1722</v>
      </c>
      <c r="I282" s="41"/>
      <c r="J282" s="82" t="s">
        <v>1723</v>
      </c>
      <c r="K282" s="82" t="s">
        <v>1724</v>
      </c>
      <c r="L282" s="82" t="s">
        <v>1807</v>
      </c>
      <c r="M282" s="83" t="s">
        <v>1808</v>
      </c>
      <c r="N282" s="74" t="b">
        <v>0</v>
      </c>
      <c r="O282" s="74" t="b">
        <v>0</v>
      </c>
      <c r="P282" s="74" t="b">
        <v>0</v>
      </c>
      <c r="Q282" s="82" t="s">
        <v>319</v>
      </c>
      <c r="R282" s="83" t="s">
        <v>1727</v>
      </c>
      <c r="S282" s="82" t="s">
        <v>1728</v>
      </c>
      <c r="T282" s="41"/>
      <c r="U282" s="41"/>
      <c r="V282" s="41"/>
      <c r="W282" s="41"/>
      <c r="X282" s="41"/>
      <c r="Y282" s="41"/>
      <c r="Z282" s="41"/>
      <c r="AA282" s="41"/>
      <c r="AB282" s="41"/>
      <c r="AC282" s="41"/>
    </row>
    <row r="283" ht="15.75" customHeight="1">
      <c r="A283" s="82" t="s">
        <v>122</v>
      </c>
      <c r="B283" s="82" t="s">
        <v>1809</v>
      </c>
      <c r="C283" s="82" t="s">
        <v>46</v>
      </c>
      <c r="D283" s="82" t="s">
        <v>1718</v>
      </c>
      <c r="E283" s="82" t="s">
        <v>1719</v>
      </c>
      <c r="F283" s="82" t="s">
        <v>1730</v>
      </c>
      <c r="G283" s="82" t="s">
        <v>1721</v>
      </c>
      <c r="H283" s="82" t="s">
        <v>1722</v>
      </c>
      <c r="I283" s="41"/>
      <c r="J283" s="82" t="s">
        <v>1723</v>
      </c>
      <c r="K283" s="82" t="s">
        <v>1724</v>
      </c>
      <c r="L283" s="82" t="s">
        <v>1731</v>
      </c>
      <c r="M283" s="83" t="s">
        <v>1810</v>
      </c>
      <c r="N283" s="74" t="b">
        <v>0</v>
      </c>
      <c r="O283" s="74" t="b">
        <v>0</v>
      </c>
      <c r="P283" s="74" t="b">
        <v>0</v>
      </c>
      <c r="Q283" s="82" t="s">
        <v>319</v>
      </c>
      <c r="R283" s="83" t="s">
        <v>1727</v>
      </c>
      <c r="S283" s="82" t="s">
        <v>1728</v>
      </c>
      <c r="T283" s="41"/>
      <c r="U283" s="41"/>
      <c r="V283" s="41"/>
      <c r="W283" s="41"/>
      <c r="X283" s="41"/>
      <c r="Y283" s="41"/>
      <c r="Z283" s="41"/>
      <c r="AA283" s="41"/>
      <c r="AB283" s="41"/>
      <c r="AC283" s="41"/>
    </row>
    <row r="284" ht="15.75" customHeight="1">
      <c r="A284" s="82" t="s">
        <v>122</v>
      </c>
      <c r="B284" s="82" t="s">
        <v>1811</v>
      </c>
      <c r="C284" s="82" t="s">
        <v>46</v>
      </c>
      <c r="D284" s="82" t="s">
        <v>1718</v>
      </c>
      <c r="E284" s="82" t="s">
        <v>1719</v>
      </c>
      <c r="F284" s="82" t="s">
        <v>1720</v>
      </c>
      <c r="G284" s="82" t="s">
        <v>1721</v>
      </c>
      <c r="H284" s="82" t="s">
        <v>1722</v>
      </c>
      <c r="I284" s="41"/>
      <c r="J284" s="82" t="s">
        <v>1723</v>
      </c>
      <c r="K284" s="82" t="s">
        <v>1724</v>
      </c>
      <c r="L284" s="82" t="s">
        <v>1812</v>
      </c>
      <c r="M284" s="83" t="s">
        <v>1813</v>
      </c>
      <c r="N284" s="74" t="b">
        <v>0</v>
      </c>
      <c r="O284" s="74" t="b">
        <v>0</v>
      </c>
      <c r="P284" s="74" t="b">
        <v>0</v>
      </c>
      <c r="Q284" s="82" t="s">
        <v>319</v>
      </c>
      <c r="R284" s="83" t="s">
        <v>1727</v>
      </c>
      <c r="S284" s="82" t="s">
        <v>1728</v>
      </c>
      <c r="T284" s="41"/>
      <c r="U284" s="41"/>
      <c r="V284" s="41"/>
      <c r="W284" s="41"/>
      <c r="X284" s="41"/>
      <c r="Y284" s="41"/>
      <c r="Z284" s="41"/>
      <c r="AA284" s="41"/>
      <c r="AB284" s="41"/>
      <c r="AC284" s="41"/>
    </row>
    <row r="285" ht="15.75" customHeight="1">
      <c r="A285" s="82" t="s">
        <v>122</v>
      </c>
      <c r="B285" s="82" t="s">
        <v>1814</v>
      </c>
      <c r="C285" s="82" t="s">
        <v>46</v>
      </c>
      <c r="D285" s="82" t="s">
        <v>1718</v>
      </c>
      <c r="E285" s="82" t="s">
        <v>1719</v>
      </c>
      <c r="F285" s="82" t="s">
        <v>1720</v>
      </c>
      <c r="G285" s="82" t="s">
        <v>1721</v>
      </c>
      <c r="H285" s="82" t="s">
        <v>1722</v>
      </c>
      <c r="I285" s="41"/>
      <c r="J285" s="82" t="s">
        <v>1723</v>
      </c>
      <c r="K285" s="82" t="s">
        <v>1724</v>
      </c>
      <c r="L285" s="82" t="s">
        <v>1815</v>
      </c>
      <c r="M285" s="83" t="s">
        <v>1816</v>
      </c>
      <c r="N285" s="74" t="b">
        <v>0</v>
      </c>
      <c r="O285" s="74" t="b">
        <v>0</v>
      </c>
      <c r="P285" s="74" t="b">
        <v>0</v>
      </c>
      <c r="Q285" s="82" t="s">
        <v>319</v>
      </c>
      <c r="R285" s="83" t="s">
        <v>1727</v>
      </c>
      <c r="S285" s="82" t="s">
        <v>1728</v>
      </c>
      <c r="T285" s="41"/>
      <c r="U285" s="41"/>
      <c r="V285" s="41"/>
      <c r="W285" s="41"/>
      <c r="X285" s="41"/>
      <c r="Y285" s="41"/>
      <c r="Z285" s="41"/>
      <c r="AA285" s="41"/>
      <c r="AB285" s="41"/>
      <c r="AC285" s="41"/>
    </row>
    <row r="286" ht="15.75" customHeight="1">
      <c r="A286" s="82" t="s">
        <v>122</v>
      </c>
      <c r="B286" s="82" t="s">
        <v>1817</v>
      </c>
      <c r="C286" s="82" t="s">
        <v>46</v>
      </c>
      <c r="D286" s="82" t="s">
        <v>1718</v>
      </c>
      <c r="E286" s="82" t="s">
        <v>1719</v>
      </c>
      <c r="F286" s="82" t="s">
        <v>1754</v>
      </c>
      <c r="G286" s="82" t="s">
        <v>1721</v>
      </c>
      <c r="H286" s="82" t="s">
        <v>1722</v>
      </c>
      <c r="I286" s="41"/>
      <c r="J286" s="82" t="s">
        <v>1723</v>
      </c>
      <c r="K286" s="82" t="s">
        <v>1724</v>
      </c>
      <c r="L286" s="82" t="s">
        <v>1818</v>
      </c>
      <c r="M286" s="83" t="s">
        <v>1819</v>
      </c>
      <c r="N286" s="74" t="b">
        <v>0</v>
      </c>
      <c r="O286" s="74" t="b">
        <v>0</v>
      </c>
      <c r="P286" s="74" t="b">
        <v>0</v>
      </c>
      <c r="Q286" s="82" t="s">
        <v>319</v>
      </c>
      <c r="R286" s="83" t="s">
        <v>1727</v>
      </c>
      <c r="S286" s="82" t="s">
        <v>1728</v>
      </c>
      <c r="T286" s="41"/>
      <c r="U286" s="41"/>
      <c r="V286" s="41"/>
      <c r="W286" s="41"/>
      <c r="X286" s="41"/>
      <c r="Y286" s="41"/>
      <c r="Z286" s="41"/>
      <c r="AA286" s="41"/>
      <c r="AB286" s="41"/>
      <c r="AC286" s="41"/>
    </row>
    <row r="287" ht="15.75" customHeight="1">
      <c r="A287" s="82" t="s">
        <v>122</v>
      </c>
      <c r="B287" s="82" t="s">
        <v>1820</v>
      </c>
      <c r="C287" s="82" t="s">
        <v>46</v>
      </c>
      <c r="D287" s="82" t="s">
        <v>1718</v>
      </c>
      <c r="E287" s="82" t="s">
        <v>1719</v>
      </c>
      <c r="F287" s="82" t="s">
        <v>1720</v>
      </c>
      <c r="G287" s="82" t="s">
        <v>1721</v>
      </c>
      <c r="H287" s="82" t="s">
        <v>1722</v>
      </c>
      <c r="I287" s="41"/>
      <c r="J287" s="82" t="s">
        <v>1723</v>
      </c>
      <c r="K287" s="82" t="s">
        <v>1724</v>
      </c>
      <c r="L287" s="82" t="s">
        <v>1821</v>
      </c>
      <c r="M287" s="83" t="s">
        <v>1822</v>
      </c>
      <c r="N287" s="74" t="b">
        <v>0</v>
      </c>
      <c r="O287" s="74" t="b">
        <v>0</v>
      </c>
      <c r="P287" s="74" t="b">
        <v>0</v>
      </c>
      <c r="Q287" s="82" t="s">
        <v>319</v>
      </c>
      <c r="R287" s="83" t="s">
        <v>1727</v>
      </c>
      <c r="S287" s="82" t="s">
        <v>1728</v>
      </c>
      <c r="T287" s="41"/>
      <c r="U287" s="41"/>
      <c r="V287" s="41"/>
      <c r="W287" s="41"/>
      <c r="X287" s="41"/>
      <c r="Y287" s="41"/>
      <c r="Z287" s="41"/>
      <c r="AA287" s="41"/>
      <c r="AB287" s="41"/>
      <c r="AC287" s="41"/>
    </row>
    <row r="288" ht="15.75" customHeight="1">
      <c r="A288" s="82" t="s">
        <v>122</v>
      </c>
      <c r="B288" s="82" t="s">
        <v>1823</v>
      </c>
      <c r="C288" s="82" t="s">
        <v>46</v>
      </c>
      <c r="D288" s="82" t="s">
        <v>1718</v>
      </c>
      <c r="E288" s="82" t="s">
        <v>1719</v>
      </c>
      <c r="F288" s="82" t="s">
        <v>1730</v>
      </c>
      <c r="G288" s="82" t="s">
        <v>1721</v>
      </c>
      <c r="H288" s="82" t="s">
        <v>1722</v>
      </c>
      <c r="I288" s="41"/>
      <c r="J288" s="82" t="s">
        <v>1723</v>
      </c>
      <c r="K288" s="82" t="s">
        <v>1724</v>
      </c>
      <c r="L288" s="82" t="s">
        <v>1824</v>
      </c>
      <c r="M288" s="83" t="s">
        <v>1825</v>
      </c>
      <c r="N288" s="74" t="b">
        <v>0</v>
      </c>
      <c r="O288" s="74" t="b">
        <v>0</v>
      </c>
      <c r="P288" s="74" t="b">
        <v>0</v>
      </c>
      <c r="Q288" s="82" t="s">
        <v>319</v>
      </c>
      <c r="R288" s="83" t="s">
        <v>1727</v>
      </c>
      <c r="S288" s="82" t="s">
        <v>1728</v>
      </c>
      <c r="T288" s="41"/>
      <c r="U288" s="41"/>
      <c r="V288" s="41"/>
      <c r="W288" s="41"/>
      <c r="X288" s="41"/>
      <c r="Y288" s="41"/>
      <c r="Z288" s="41"/>
      <c r="AA288" s="41"/>
      <c r="AB288" s="41"/>
      <c r="AC288" s="41"/>
    </row>
    <row r="289" ht="15.75" customHeight="1">
      <c r="A289" s="82" t="s">
        <v>122</v>
      </c>
      <c r="B289" s="82" t="s">
        <v>1826</v>
      </c>
      <c r="C289" s="82" t="s">
        <v>46</v>
      </c>
      <c r="D289" s="82" t="s">
        <v>1718</v>
      </c>
      <c r="E289" s="82" t="s">
        <v>1719</v>
      </c>
      <c r="F289" s="82" t="s">
        <v>1754</v>
      </c>
      <c r="G289" s="82" t="s">
        <v>1721</v>
      </c>
      <c r="H289" s="82" t="s">
        <v>1722</v>
      </c>
      <c r="I289" s="41"/>
      <c r="J289" s="82" t="s">
        <v>1723</v>
      </c>
      <c r="K289" s="82" t="s">
        <v>1724</v>
      </c>
      <c r="L289" s="82" t="s">
        <v>1827</v>
      </c>
      <c r="M289" s="83" t="s">
        <v>1828</v>
      </c>
      <c r="N289" s="74" t="b">
        <v>0</v>
      </c>
      <c r="O289" s="74" t="b">
        <v>0</v>
      </c>
      <c r="P289" s="74" t="b">
        <v>0</v>
      </c>
      <c r="Q289" s="82" t="s">
        <v>319</v>
      </c>
      <c r="R289" s="83" t="s">
        <v>1727</v>
      </c>
      <c r="S289" s="82" t="s">
        <v>1728</v>
      </c>
      <c r="T289" s="41"/>
      <c r="U289" s="41"/>
      <c r="V289" s="41"/>
      <c r="W289" s="41"/>
      <c r="X289" s="41"/>
      <c r="Y289" s="41"/>
      <c r="Z289" s="41"/>
      <c r="AA289" s="41"/>
      <c r="AB289" s="41"/>
      <c r="AC289" s="41"/>
    </row>
    <row r="290" ht="15.75" customHeight="1">
      <c r="A290" s="82" t="s">
        <v>122</v>
      </c>
      <c r="B290" s="82" t="s">
        <v>1829</v>
      </c>
      <c r="C290" s="82" t="s">
        <v>46</v>
      </c>
      <c r="D290" s="82" t="s">
        <v>1718</v>
      </c>
      <c r="E290" s="82" t="s">
        <v>1719</v>
      </c>
      <c r="F290" s="82" t="s">
        <v>1720</v>
      </c>
      <c r="G290" s="82" t="s">
        <v>1721</v>
      </c>
      <c r="H290" s="82" t="s">
        <v>1722</v>
      </c>
      <c r="I290" s="41"/>
      <c r="J290" s="82" t="s">
        <v>1723</v>
      </c>
      <c r="K290" s="82" t="s">
        <v>1724</v>
      </c>
      <c r="L290" s="82" t="s">
        <v>1830</v>
      </c>
      <c r="M290" s="83" t="s">
        <v>1831</v>
      </c>
      <c r="N290" s="74" t="b">
        <v>0</v>
      </c>
      <c r="O290" s="74" t="b">
        <v>0</v>
      </c>
      <c r="P290" s="74" t="b">
        <v>0</v>
      </c>
      <c r="Q290" s="82" t="s">
        <v>319</v>
      </c>
      <c r="R290" s="83" t="s">
        <v>1727</v>
      </c>
      <c r="S290" s="82" t="s">
        <v>1728</v>
      </c>
      <c r="T290" s="41"/>
      <c r="U290" s="41"/>
      <c r="V290" s="41"/>
      <c r="W290" s="41"/>
      <c r="X290" s="41"/>
      <c r="Y290" s="41"/>
      <c r="Z290" s="41"/>
      <c r="AA290" s="41"/>
      <c r="AB290" s="41"/>
      <c r="AC290" s="41"/>
    </row>
    <row r="291" ht="15.75" customHeight="1">
      <c r="A291" s="82" t="s">
        <v>122</v>
      </c>
      <c r="B291" s="82" t="s">
        <v>1832</v>
      </c>
      <c r="C291" s="82" t="s">
        <v>46</v>
      </c>
      <c r="D291" s="82" t="s">
        <v>1718</v>
      </c>
      <c r="E291" s="82" t="s">
        <v>1719</v>
      </c>
      <c r="F291" s="82" t="s">
        <v>1720</v>
      </c>
      <c r="G291" s="82" t="s">
        <v>1721</v>
      </c>
      <c r="H291" s="82" t="s">
        <v>1722</v>
      </c>
      <c r="I291" s="41"/>
      <c r="J291" s="82" t="s">
        <v>1723</v>
      </c>
      <c r="K291" s="82" t="s">
        <v>1724</v>
      </c>
      <c r="L291" s="82" t="s">
        <v>1833</v>
      </c>
      <c r="M291" s="83" t="s">
        <v>1834</v>
      </c>
      <c r="N291" s="74" t="b">
        <v>0</v>
      </c>
      <c r="O291" s="74" t="b">
        <v>0</v>
      </c>
      <c r="P291" s="74" t="b">
        <v>0</v>
      </c>
      <c r="Q291" s="82" t="s">
        <v>319</v>
      </c>
      <c r="R291" s="83" t="s">
        <v>1727</v>
      </c>
      <c r="S291" s="82" t="s">
        <v>1728</v>
      </c>
      <c r="T291" s="41"/>
      <c r="U291" s="41"/>
      <c r="V291" s="41"/>
      <c r="W291" s="41"/>
      <c r="X291" s="41"/>
      <c r="Y291" s="41"/>
      <c r="Z291" s="41"/>
      <c r="AA291" s="41"/>
      <c r="AB291" s="41"/>
      <c r="AC291" s="41"/>
    </row>
    <row r="292" ht="15.75" customHeight="1">
      <c r="A292" s="82" t="s">
        <v>122</v>
      </c>
      <c r="B292" s="82" t="s">
        <v>1835</v>
      </c>
      <c r="C292" s="82" t="s">
        <v>46</v>
      </c>
      <c r="D292" s="82" t="s">
        <v>1718</v>
      </c>
      <c r="E292" s="82" t="s">
        <v>1719</v>
      </c>
      <c r="F292" s="82" t="s">
        <v>1720</v>
      </c>
      <c r="G292" s="82" t="s">
        <v>1721</v>
      </c>
      <c r="H292" s="82" t="s">
        <v>1722</v>
      </c>
      <c r="I292" s="41"/>
      <c r="J292" s="82" t="s">
        <v>1723</v>
      </c>
      <c r="K292" s="82" t="s">
        <v>1724</v>
      </c>
      <c r="L292" s="82" t="s">
        <v>1725</v>
      </c>
      <c r="M292" s="83" t="s">
        <v>1836</v>
      </c>
      <c r="N292" s="74" t="b">
        <v>0</v>
      </c>
      <c r="O292" s="74" t="b">
        <v>0</v>
      </c>
      <c r="P292" s="74" t="b">
        <v>0</v>
      </c>
      <c r="Q292" s="82" t="s">
        <v>319</v>
      </c>
      <c r="R292" s="83" t="s">
        <v>1727</v>
      </c>
      <c r="S292" s="82" t="s">
        <v>1728</v>
      </c>
      <c r="T292" s="41"/>
      <c r="U292" s="41"/>
      <c r="V292" s="41"/>
      <c r="W292" s="41"/>
      <c r="X292" s="41"/>
      <c r="Y292" s="41"/>
      <c r="Z292" s="41"/>
      <c r="AA292" s="41"/>
      <c r="AB292" s="41"/>
      <c r="AC292" s="41"/>
    </row>
    <row r="293" ht="15.75" customHeight="1">
      <c r="A293" s="82" t="s">
        <v>122</v>
      </c>
      <c r="B293" s="82" t="s">
        <v>1837</v>
      </c>
      <c r="C293" s="82" t="s">
        <v>46</v>
      </c>
      <c r="D293" s="82" t="s">
        <v>1718</v>
      </c>
      <c r="E293" s="82" t="s">
        <v>1719</v>
      </c>
      <c r="F293" s="82" t="s">
        <v>1794</v>
      </c>
      <c r="G293" s="82" t="s">
        <v>1721</v>
      </c>
      <c r="H293" s="82" t="s">
        <v>1722</v>
      </c>
      <c r="I293" s="41"/>
      <c r="J293" s="82" t="s">
        <v>1723</v>
      </c>
      <c r="K293" s="82" t="s">
        <v>1724</v>
      </c>
      <c r="L293" s="82" t="s">
        <v>1838</v>
      </c>
      <c r="M293" s="83" t="s">
        <v>1839</v>
      </c>
      <c r="N293" s="74" t="b">
        <v>0</v>
      </c>
      <c r="O293" s="74" t="b">
        <v>0</v>
      </c>
      <c r="P293" s="74" t="b">
        <v>0</v>
      </c>
      <c r="Q293" s="82" t="s">
        <v>319</v>
      </c>
      <c r="R293" s="83" t="s">
        <v>1727</v>
      </c>
      <c r="S293" s="82" t="s">
        <v>1728</v>
      </c>
      <c r="T293" s="41"/>
      <c r="U293" s="41"/>
      <c r="V293" s="41"/>
      <c r="W293" s="41"/>
      <c r="X293" s="41"/>
      <c r="Y293" s="41"/>
      <c r="Z293" s="41"/>
      <c r="AA293" s="41"/>
      <c r="AB293" s="41"/>
      <c r="AC293" s="41"/>
    </row>
    <row r="294" ht="15.75" customHeight="1">
      <c r="A294" s="82" t="s">
        <v>122</v>
      </c>
      <c r="B294" s="82" t="s">
        <v>1840</v>
      </c>
      <c r="C294" s="82" t="s">
        <v>46</v>
      </c>
      <c r="D294" s="82" t="s">
        <v>1718</v>
      </c>
      <c r="E294" s="82" t="s">
        <v>1719</v>
      </c>
      <c r="F294" s="82" t="s">
        <v>1720</v>
      </c>
      <c r="G294" s="82" t="s">
        <v>1721</v>
      </c>
      <c r="H294" s="82" t="s">
        <v>1722</v>
      </c>
      <c r="I294" s="41"/>
      <c r="J294" s="82" t="s">
        <v>1723</v>
      </c>
      <c r="K294" s="82" t="s">
        <v>1724</v>
      </c>
      <c r="L294" s="82" t="s">
        <v>1841</v>
      </c>
      <c r="M294" s="83" t="s">
        <v>1842</v>
      </c>
      <c r="N294" s="74" t="b">
        <v>0</v>
      </c>
      <c r="O294" s="74" t="b">
        <v>0</v>
      </c>
      <c r="P294" s="74" t="b">
        <v>0</v>
      </c>
      <c r="Q294" s="82" t="s">
        <v>319</v>
      </c>
      <c r="R294" s="83" t="s">
        <v>1727</v>
      </c>
      <c r="S294" s="82" t="s">
        <v>1728</v>
      </c>
      <c r="T294" s="41"/>
      <c r="U294" s="41"/>
      <c r="V294" s="41"/>
      <c r="W294" s="41"/>
      <c r="X294" s="41"/>
      <c r="Y294" s="41"/>
      <c r="Z294" s="41"/>
      <c r="AA294" s="41"/>
      <c r="AB294" s="41"/>
      <c r="AC294" s="41"/>
    </row>
    <row r="295" ht="15.75" customHeight="1">
      <c r="A295" s="82" t="s">
        <v>122</v>
      </c>
      <c r="B295" s="82" t="s">
        <v>1843</v>
      </c>
      <c r="C295" s="82" t="s">
        <v>46</v>
      </c>
      <c r="D295" s="82" t="s">
        <v>1718</v>
      </c>
      <c r="E295" s="82" t="s">
        <v>1719</v>
      </c>
      <c r="F295" s="82" t="s">
        <v>1720</v>
      </c>
      <c r="G295" s="82" t="s">
        <v>1721</v>
      </c>
      <c r="H295" s="82" t="s">
        <v>1722</v>
      </c>
      <c r="I295" s="41"/>
      <c r="J295" s="82" t="s">
        <v>1723</v>
      </c>
      <c r="K295" s="82" t="s">
        <v>1724</v>
      </c>
      <c r="L295" s="82" t="s">
        <v>1844</v>
      </c>
      <c r="M295" s="83" t="s">
        <v>1845</v>
      </c>
      <c r="N295" s="74" t="b">
        <v>0</v>
      </c>
      <c r="O295" s="74" t="b">
        <v>0</v>
      </c>
      <c r="P295" s="74" t="b">
        <v>0</v>
      </c>
      <c r="Q295" s="82" t="s">
        <v>319</v>
      </c>
      <c r="R295" s="83" t="s">
        <v>1727</v>
      </c>
      <c r="S295" s="82" t="s">
        <v>1728</v>
      </c>
      <c r="T295" s="41"/>
      <c r="U295" s="41"/>
      <c r="V295" s="41"/>
      <c r="W295" s="41"/>
      <c r="X295" s="41"/>
      <c r="Y295" s="41"/>
      <c r="Z295" s="41"/>
      <c r="AA295" s="41"/>
      <c r="AB295" s="41"/>
      <c r="AC295" s="41"/>
    </row>
    <row r="296" ht="15.75" customHeight="1">
      <c r="A296" s="82" t="s">
        <v>122</v>
      </c>
      <c r="B296" s="82" t="s">
        <v>1846</v>
      </c>
      <c r="C296" s="82" t="s">
        <v>46</v>
      </c>
      <c r="D296" s="82" t="s">
        <v>1718</v>
      </c>
      <c r="E296" s="82" t="s">
        <v>1719</v>
      </c>
      <c r="F296" s="82" t="s">
        <v>1754</v>
      </c>
      <c r="G296" s="82" t="s">
        <v>1721</v>
      </c>
      <c r="H296" s="82" t="s">
        <v>1722</v>
      </c>
      <c r="I296" s="41"/>
      <c r="J296" s="82" t="s">
        <v>1723</v>
      </c>
      <c r="K296" s="82" t="s">
        <v>1724</v>
      </c>
      <c r="L296" s="82" t="s">
        <v>1847</v>
      </c>
      <c r="M296" s="83" t="s">
        <v>1848</v>
      </c>
      <c r="N296" s="74" t="b">
        <v>0</v>
      </c>
      <c r="O296" s="74" t="b">
        <v>0</v>
      </c>
      <c r="P296" s="74" t="b">
        <v>0</v>
      </c>
      <c r="Q296" s="82" t="s">
        <v>319</v>
      </c>
      <c r="R296" s="83" t="s">
        <v>1727</v>
      </c>
      <c r="S296" s="82" t="s">
        <v>1728</v>
      </c>
      <c r="T296" s="41"/>
      <c r="U296" s="41"/>
      <c r="V296" s="41"/>
      <c r="W296" s="41"/>
      <c r="X296" s="41"/>
      <c r="Y296" s="41"/>
      <c r="Z296" s="41"/>
      <c r="AA296" s="41"/>
      <c r="AB296" s="41"/>
      <c r="AC296" s="41"/>
    </row>
    <row r="297" ht="15.75" customHeight="1">
      <c r="A297" s="82" t="s">
        <v>122</v>
      </c>
      <c r="B297" s="82" t="s">
        <v>1849</v>
      </c>
      <c r="C297" s="82" t="s">
        <v>46</v>
      </c>
      <c r="D297" s="82" t="s">
        <v>1718</v>
      </c>
      <c r="E297" s="82" t="s">
        <v>1719</v>
      </c>
      <c r="F297" s="82" t="s">
        <v>1720</v>
      </c>
      <c r="G297" s="82" t="s">
        <v>1721</v>
      </c>
      <c r="H297" s="82" t="s">
        <v>1722</v>
      </c>
      <c r="I297" s="41"/>
      <c r="J297" s="82" t="s">
        <v>1723</v>
      </c>
      <c r="K297" s="82" t="s">
        <v>1724</v>
      </c>
      <c r="L297" s="82" t="s">
        <v>1788</v>
      </c>
      <c r="M297" s="83" t="s">
        <v>1850</v>
      </c>
      <c r="N297" s="74" t="b">
        <v>0</v>
      </c>
      <c r="O297" s="74" t="b">
        <v>0</v>
      </c>
      <c r="P297" s="74" t="b">
        <v>0</v>
      </c>
      <c r="Q297" s="82" t="s">
        <v>319</v>
      </c>
      <c r="R297" s="83" t="s">
        <v>1727</v>
      </c>
      <c r="S297" s="82" t="s">
        <v>1728</v>
      </c>
      <c r="T297" s="41"/>
      <c r="U297" s="41"/>
      <c r="V297" s="41"/>
      <c r="W297" s="41"/>
      <c r="X297" s="41"/>
      <c r="Y297" s="41"/>
      <c r="Z297" s="41"/>
      <c r="AA297" s="41"/>
      <c r="AB297" s="41"/>
      <c r="AC297" s="41"/>
    </row>
    <row r="298" ht="15.75" customHeight="1">
      <c r="A298" s="82" t="s">
        <v>122</v>
      </c>
      <c r="B298" s="82" t="s">
        <v>1851</v>
      </c>
      <c r="C298" s="82" t="s">
        <v>46</v>
      </c>
      <c r="D298" s="82" t="s">
        <v>1718</v>
      </c>
      <c r="E298" s="82" t="s">
        <v>1719</v>
      </c>
      <c r="F298" s="82" t="s">
        <v>1730</v>
      </c>
      <c r="G298" s="82" t="s">
        <v>1721</v>
      </c>
      <c r="H298" s="82" t="s">
        <v>1722</v>
      </c>
      <c r="I298" s="41"/>
      <c r="J298" s="82" t="s">
        <v>1723</v>
      </c>
      <c r="K298" s="82" t="s">
        <v>1724</v>
      </c>
      <c r="L298" s="82" t="s">
        <v>1852</v>
      </c>
      <c r="M298" s="83" t="s">
        <v>1853</v>
      </c>
      <c r="N298" s="74" t="b">
        <v>0</v>
      </c>
      <c r="O298" s="74" t="b">
        <v>0</v>
      </c>
      <c r="P298" s="74" t="b">
        <v>0</v>
      </c>
      <c r="Q298" s="82" t="s">
        <v>319</v>
      </c>
      <c r="R298" s="83" t="s">
        <v>1727</v>
      </c>
      <c r="S298" s="82" t="s">
        <v>1728</v>
      </c>
      <c r="T298" s="41"/>
      <c r="U298" s="41"/>
      <c r="V298" s="41"/>
      <c r="W298" s="41"/>
      <c r="X298" s="41"/>
      <c r="Y298" s="41"/>
      <c r="Z298" s="41"/>
      <c r="AA298" s="41"/>
      <c r="AB298" s="41"/>
      <c r="AC298" s="41"/>
    </row>
    <row r="299" ht="15.75" customHeight="1">
      <c r="A299" s="82" t="s">
        <v>122</v>
      </c>
      <c r="B299" s="82" t="s">
        <v>1854</v>
      </c>
      <c r="C299" s="82" t="s">
        <v>46</v>
      </c>
      <c r="D299" s="82" t="s">
        <v>1718</v>
      </c>
      <c r="E299" s="82" t="s">
        <v>1719</v>
      </c>
      <c r="F299" s="82" t="s">
        <v>1754</v>
      </c>
      <c r="G299" s="82" t="s">
        <v>1721</v>
      </c>
      <c r="H299" s="82" t="s">
        <v>1722</v>
      </c>
      <c r="I299" s="41"/>
      <c r="J299" s="82" t="s">
        <v>1723</v>
      </c>
      <c r="K299" s="82" t="s">
        <v>1724</v>
      </c>
      <c r="L299" s="82" t="s">
        <v>1855</v>
      </c>
      <c r="M299" s="83" t="s">
        <v>1856</v>
      </c>
      <c r="N299" s="74" t="b">
        <v>0</v>
      </c>
      <c r="O299" s="74" t="b">
        <v>0</v>
      </c>
      <c r="P299" s="74" t="b">
        <v>0</v>
      </c>
      <c r="Q299" s="82" t="s">
        <v>319</v>
      </c>
      <c r="R299" s="83" t="s">
        <v>1727</v>
      </c>
      <c r="S299" s="82" t="s">
        <v>1728</v>
      </c>
      <c r="T299" s="41"/>
      <c r="U299" s="41"/>
      <c r="V299" s="41"/>
      <c r="W299" s="41"/>
      <c r="X299" s="41"/>
      <c r="Y299" s="41"/>
      <c r="Z299" s="41"/>
      <c r="AA299" s="41"/>
      <c r="AB299" s="41"/>
      <c r="AC299" s="41"/>
    </row>
    <row r="300" ht="15.75" customHeight="1">
      <c r="A300" s="82" t="s">
        <v>122</v>
      </c>
      <c r="B300" s="82" t="s">
        <v>1857</v>
      </c>
      <c r="C300" s="82" t="s">
        <v>46</v>
      </c>
      <c r="D300" s="82" t="s">
        <v>1718</v>
      </c>
      <c r="E300" s="82" t="s">
        <v>1719</v>
      </c>
      <c r="F300" s="82" t="s">
        <v>1754</v>
      </c>
      <c r="G300" s="82" t="s">
        <v>1721</v>
      </c>
      <c r="H300" s="82" t="s">
        <v>1722</v>
      </c>
      <c r="I300" s="41"/>
      <c r="J300" s="82" t="s">
        <v>1723</v>
      </c>
      <c r="K300" s="82" t="s">
        <v>1724</v>
      </c>
      <c r="L300" s="82" t="s">
        <v>1818</v>
      </c>
      <c r="M300" s="83" t="s">
        <v>1858</v>
      </c>
      <c r="N300" s="74" t="b">
        <v>0</v>
      </c>
      <c r="O300" s="74" t="b">
        <v>0</v>
      </c>
      <c r="P300" s="74" t="b">
        <v>0</v>
      </c>
      <c r="Q300" s="82" t="s">
        <v>319</v>
      </c>
      <c r="R300" s="83" t="s">
        <v>1727</v>
      </c>
      <c r="S300" s="82" t="s">
        <v>1728</v>
      </c>
      <c r="T300" s="41"/>
      <c r="U300" s="41"/>
      <c r="V300" s="41"/>
      <c r="W300" s="41"/>
      <c r="X300" s="41"/>
      <c r="Y300" s="41"/>
      <c r="Z300" s="41"/>
      <c r="AA300" s="41"/>
      <c r="AB300" s="41"/>
      <c r="AC300" s="41"/>
    </row>
    <row r="301" ht="15.75" customHeight="1">
      <c r="A301" s="82" t="s">
        <v>122</v>
      </c>
      <c r="B301" s="82" t="s">
        <v>1859</v>
      </c>
      <c r="C301" s="82" t="s">
        <v>46</v>
      </c>
      <c r="D301" s="82" t="s">
        <v>1718</v>
      </c>
      <c r="E301" s="82" t="s">
        <v>1719</v>
      </c>
      <c r="F301" s="82" t="s">
        <v>1720</v>
      </c>
      <c r="G301" s="82" t="s">
        <v>1721</v>
      </c>
      <c r="H301" s="82" t="s">
        <v>1722</v>
      </c>
      <c r="I301" s="41"/>
      <c r="J301" s="82" t="s">
        <v>1723</v>
      </c>
      <c r="K301" s="82" t="s">
        <v>1724</v>
      </c>
      <c r="L301" s="82" t="s">
        <v>1725</v>
      </c>
      <c r="M301" s="83" t="s">
        <v>1860</v>
      </c>
      <c r="N301" s="74" t="b">
        <v>0</v>
      </c>
      <c r="O301" s="74" t="b">
        <v>0</v>
      </c>
      <c r="P301" s="74" t="b">
        <v>0</v>
      </c>
      <c r="Q301" s="82" t="s">
        <v>319</v>
      </c>
      <c r="R301" s="83" t="s">
        <v>1727</v>
      </c>
      <c r="S301" s="82" t="s">
        <v>1728</v>
      </c>
      <c r="T301" s="41"/>
      <c r="U301" s="41"/>
      <c r="V301" s="41"/>
      <c r="W301" s="41"/>
      <c r="X301" s="41"/>
      <c r="Y301" s="41"/>
      <c r="Z301" s="41"/>
      <c r="AA301" s="41"/>
      <c r="AB301" s="41"/>
      <c r="AC301" s="41"/>
    </row>
    <row r="302" ht="15.75" customHeight="1">
      <c r="A302" s="82" t="s">
        <v>122</v>
      </c>
      <c r="B302" s="82" t="s">
        <v>1861</v>
      </c>
      <c r="C302" s="82" t="s">
        <v>46</v>
      </c>
      <c r="D302" s="82" t="s">
        <v>1718</v>
      </c>
      <c r="E302" s="82" t="s">
        <v>1719</v>
      </c>
      <c r="F302" s="82" t="s">
        <v>1720</v>
      </c>
      <c r="G302" s="82" t="s">
        <v>1721</v>
      </c>
      <c r="H302" s="82" t="s">
        <v>1722</v>
      </c>
      <c r="I302" s="41"/>
      <c r="J302" s="82" t="s">
        <v>1723</v>
      </c>
      <c r="K302" s="82" t="s">
        <v>1724</v>
      </c>
      <c r="L302" s="82" t="s">
        <v>1725</v>
      </c>
      <c r="M302" s="83" t="s">
        <v>1862</v>
      </c>
      <c r="N302" s="74" t="b">
        <v>0</v>
      </c>
      <c r="O302" s="74" t="b">
        <v>0</v>
      </c>
      <c r="P302" s="74" t="b">
        <v>0</v>
      </c>
      <c r="Q302" s="82" t="s">
        <v>319</v>
      </c>
      <c r="R302" s="83" t="s">
        <v>1727</v>
      </c>
      <c r="S302" s="82" t="s">
        <v>1728</v>
      </c>
      <c r="T302" s="41"/>
      <c r="U302" s="41"/>
      <c r="V302" s="41"/>
      <c r="W302" s="41"/>
      <c r="X302" s="41"/>
      <c r="Y302" s="41"/>
      <c r="Z302" s="41"/>
      <c r="AA302" s="41"/>
      <c r="AB302" s="41"/>
      <c r="AC302" s="41"/>
    </row>
    <row r="303" ht="15.75" customHeight="1">
      <c r="A303" s="82" t="s">
        <v>122</v>
      </c>
      <c r="B303" s="82" t="s">
        <v>1863</v>
      </c>
      <c r="C303" s="82" t="s">
        <v>46</v>
      </c>
      <c r="D303" s="82" t="s">
        <v>1718</v>
      </c>
      <c r="E303" s="82" t="s">
        <v>1719</v>
      </c>
      <c r="F303" s="82" t="s">
        <v>1754</v>
      </c>
      <c r="G303" s="82" t="s">
        <v>1721</v>
      </c>
      <c r="H303" s="82" t="s">
        <v>1722</v>
      </c>
      <c r="I303" s="41"/>
      <c r="J303" s="82" t="s">
        <v>1723</v>
      </c>
      <c r="K303" s="82" t="s">
        <v>1724</v>
      </c>
      <c r="L303" s="82" t="s">
        <v>1864</v>
      </c>
      <c r="M303" s="83" t="s">
        <v>1865</v>
      </c>
      <c r="N303" s="74" t="b">
        <v>0</v>
      </c>
      <c r="O303" s="74" t="b">
        <v>0</v>
      </c>
      <c r="P303" s="74" t="b">
        <v>0</v>
      </c>
      <c r="Q303" s="82" t="s">
        <v>319</v>
      </c>
      <c r="R303" s="83" t="s">
        <v>1727</v>
      </c>
      <c r="S303" s="82" t="s">
        <v>1728</v>
      </c>
      <c r="T303" s="41"/>
      <c r="U303" s="41"/>
      <c r="V303" s="41"/>
      <c r="W303" s="41"/>
      <c r="X303" s="41"/>
      <c r="Y303" s="41"/>
      <c r="Z303" s="41"/>
      <c r="AA303" s="41"/>
      <c r="AB303" s="41"/>
      <c r="AC303" s="41"/>
    </row>
    <row r="304" ht="15.75" customHeight="1">
      <c r="A304" s="82" t="s">
        <v>122</v>
      </c>
      <c r="B304" s="82" t="s">
        <v>1866</v>
      </c>
      <c r="C304" s="82" t="s">
        <v>46</v>
      </c>
      <c r="D304" s="82" t="s">
        <v>1718</v>
      </c>
      <c r="E304" s="82" t="s">
        <v>1719</v>
      </c>
      <c r="F304" s="82" t="s">
        <v>1720</v>
      </c>
      <c r="G304" s="82" t="s">
        <v>1721</v>
      </c>
      <c r="H304" s="82" t="s">
        <v>1722</v>
      </c>
      <c r="I304" s="41"/>
      <c r="J304" s="82" t="s">
        <v>1723</v>
      </c>
      <c r="K304" s="82" t="s">
        <v>1724</v>
      </c>
      <c r="L304" s="82" t="s">
        <v>1867</v>
      </c>
      <c r="M304" s="83" t="s">
        <v>1868</v>
      </c>
      <c r="N304" s="74" t="b">
        <v>0</v>
      </c>
      <c r="O304" s="74" t="b">
        <v>0</v>
      </c>
      <c r="P304" s="74" t="b">
        <v>0</v>
      </c>
      <c r="Q304" s="82" t="s">
        <v>319</v>
      </c>
      <c r="R304" s="83" t="s">
        <v>1727</v>
      </c>
      <c r="S304" s="82" t="s">
        <v>1728</v>
      </c>
      <c r="T304" s="41"/>
      <c r="U304" s="41"/>
      <c r="V304" s="41"/>
      <c r="W304" s="41"/>
      <c r="X304" s="41"/>
      <c r="Y304" s="41"/>
      <c r="Z304" s="41"/>
      <c r="AA304" s="41"/>
      <c r="AB304" s="41"/>
      <c r="AC304" s="41"/>
    </row>
    <row r="305" ht="15.75" customHeight="1">
      <c r="A305" s="82" t="s">
        <v>122</v>
      </c>
      <c r="B305" s="82" t="s">
        <v>1869</v>
      </c>
      <c r="C305" s="82" t="s">
        <v>46</v>
      </c>
      <c r="D305" s="82" t="s">
        <v>1718</v>
      </c>
      <c r="E305" s="82" t="s">
        <v>1719</v>
      </c>
      <c r="F305" s="82" t="s">
        <v>1720</v>
      </c>
      <c r="G305" s="82" t="s">
        <v>1721</v>
      </c>
      <c r="H305" s="82" t="s">
        <v>1722</v>
      </c>
      <c r="I305" s="41"/>
      <c r="J305" s="82" t="s">
        <v>1723</v>
      </c>
      <c r="K305" s="82" t="s">
        <v>1724</v>
      </c>
      <c r="L305" s="82" t="s">
        <v>1725</v>
      </c>
      <c r="M305" s="83" t="s">
        <v>1870</v>
      </c>
      <c r="N305" s="74" t="b">
        <v>0</v>
      </c>
      <c r="O305" s="74" t="b">
        <v>0</v>
      </c>
      <c r="P305" s="74" t="b">
        <v>0</v>
      </c>
      <c r="Q305" s="82" t="s">
        <v>319</v>
      </c>
      <c r="R305" s="83" t="s">
        <v>1727</v>
      </c>
      <c r="S305" s="82" t="s">
        <v>1728</v>
      </c>
      <c r="T305" s="41"/>
      <c r="U305" s="41"/>
      <c r="V305" s="41"/>
      <c r="W305" s="41"/>
      <c r="X305" s="41"/>
      <c r="Y305" s="41"/>
      <c r="Z305" s="41"/>
      <c r="AA305" s="41"/>
      <c r="AB305" s="41"/>
      <c r="AC305" s="41"/>
    </row>
    <row r="306" ht="15.75" customHeight="1">
      <c r="A306" s="82" t="s">
        <v>122</v>
      </c>
      <c r="B306" s="82" t="s">
        <v>1871</v>
      </c>
      <c r="C306" s="82" t="s">
        <v>46</v>
      </c>
      <c r="D306" s="82" t="s">
        <v>1718</v>
      </c>
      <c r="E306" s="82" t="s">
        <v>1719</v>
      </c>
      <c r="F306" s="82" t="s">
        <v>1720</v>
      </c>
      <c r="G306" s="82" t="s">
        <v>1721</v>
      </c>
      <c r="H306" s="82" t="s">
        <v>1722</v>
      </c>
      <c r="I306" s="41"/>
      <c r="J306" s="82" t="s">
        <v>1723</v>
      </c>
      <c r="K306" s="82" t="s">
        <v>1724</v>
      </c>
      <c r="L306" s="82" t="s">
        <v>1725</v>
      </c>
      <c r="M306" s="83" t="s">
        <v>1872</v>
      </c>
      <c r="N306" s="74" t="b">
        <v>0</v>
      </c>
      <c r="O306" s="74" t="b">
        <v>0</v>
      </c>
      <c r="P306" s="74" t="b">
        <v>0</v>
      </c>
      <c r="Q306" s="82" t="s">
        <v>319</v>
      </c>
      <c r="R306" s="83" t="s">
        <v>1727</v>
      </c>
      <c r="S306" s="82" t="s">
        <v>1728</v>
      </c>
      <c r="T306" s="41"/>
      <c r="U306" s="41"/>
      <c r="V306" s="41"/>
      <c r="W306" s="41"/>
      <c r="X306" s="41"/>
      <c r="Y306" s="41"/>
      <c r="Z306" s="41"/>
      <c r="AA306" s="41"/>
      <c r="AB306" s="41"/>
      <c r="AC306" s="41"/>
    </row>
    <row r="307" ht="15.75" customHeight="1">
      <c r="A307" s="82" t="s">
        <v>122</v>
      </c>
      <c r="B307" s="82" t="s">
        <v>1873</v>
      </c>
      <c r="C307" s="82" t="s">
        <v>46</v>
      </c>
      <c r="D307" s="82" t="s">
        <v>1718</v>
      </c>
      <c r="E307" s="82" t="s">
        <v>1719</v>
      </c>
      <c r="F307" s="82" t="s">
        <v>1754</v>
      </c>
      <c r="G307" s="82" t="s">
        <v>1721</v>
      </c>
      <c r="H307" s="82" t="s">
        <v>1722</v>
      </c>
      <c r="I307" s="41"/>
      <c r="J307" s="82" t="s">
        <v>1723</v>
      </c>
      <c r="K307" s="82" t="s">
        <v>1724</v>
      </c>
      <c r="L307" s="82" t="s">
        <v>1874</v>
      </c>
      <c r="M307" s="83" t="s">
        <v>1875</v>
      </c>
      <c r="N307" s="74" t="b">
        <v>0</v>
      </c>
      <c r="O307" s="74" t="b">
        <v>0</v>
      </c>
      <c r="P307" s="74" t="b">
        <v>0</v>
      </c>
      <c r="Q307" s="82" t="s">
        <v>319</v>
      </c>
      <c r="R307" s="83" t="s">
        <v>1727</v>
      </c>
      <c r="S307" s="82" t="s">
        <v>1728</v>
      </c>
      <c r="T307" s="41"/>
      <c r="U307" s="41"/>
      <c r="V307" s="41"/>
      <c r="W307" s="41"/>
      <c r="X307" s="41"/>
      <c r="Y307" s="41"/>
      <c r="Z307" s="41"/>
      <c r="AA307" s="41"/>
      <c r="AB307" s="41"/>
      <c r="AC307" s="41"/>
    </row>
    <row r="308" ht="15.75" customHeight="1">
      <c r="A308" s="82" t="s">
        <v>122</v>
      </c>
      <c r="B308" s="82" t="s">
        <v>1876</v>
      </c>
      <c r="C308" s="82" t="s">
        <v>46</v>
      </c>
      <c r="D308" s="82" t="s">
        <v>1718</v>
      </c>
      <c r="E308" s="82" t="s">
        <v>1719</v>
      </c>
      <c r="F308" s="82" t="s">
        <v>1720</v>
      </c>
      <c r="G308" s="82" t="s">
        <v>1721</v>
      </c>
      <c r="H308" s="82" t="s">
        <v>1722</v>
      </c>
      <c r="I308" s="41"/>
      <c r="J308" s="82" t="s">
        <v>1723</v>
      </c>
      <c r="K308" s="82" t="s">
        <v>1724</v>
      </c>
      <c r="L308" s="82" t="s">
        <v>1877</v>
      </c>
      <c r="M308" s="83" t="s">
        <v>1878</v>
      </c>
      <c r="N308" s="74" t="b">
        <v>0</v>
      </c>
      <c r="O308" s="74" t="b">
        <v>0</v>
      </c>
      <c r="P308" s="74" t="b">
        <v>0</v>
      </c>
      <c r="Q308" s="82" t="s">
        <v>319</v>
      </c>
      <c r="R308" s="83" t="s">
        <v>1727</v>
      </c>
      <c r="S308" s="82" t="s">
        <v>1728</v>
      </c>
      <c r="T308" s="41"/>
      <c r="U308" s="41"/>
      <c r="V308" s="41"/>
      <c r="W308" s="41"/>
      <c r="X308" s="41"/>
      <c r="Y308" s="41"/>
      <c r="Z308" s="41"/>
      <c r="AA308" s="41"/>
      <c r="AB308" s="41"/>
      <c r="AC308" s="41"/>
    </row>
    <row r="309" ht="15.75" customHeight="1">
      <c r="A309" s="82" t="s">
        <v>122</v>
      </c>
      <c r="B309" s="82" t="s">
        <v>1879</v>
      </c>
      <c r="C309" s="82" t="s">
        <v>46</v>
      </c>
      <c r="D309" s="82" t="s">
        <v>1718</v>
      </c>
      <c r="E309" s="82" t="s">
        <v>1719</v>
      </c>
      <c r="F309" s="82" t="s">
        <v>1720</v>
      </c>
      <c r="G309" s="82" t="s">
        <v>1721</v>
      </c>
      <c r="H309" s="82" t="s">
        <v>1722</v>
      </c>
      <c r="I309" s="41"/>
      <c r="J309" s="82" t="s">
        <v>1723</v>
      </c>
      <c r="K309" s="82" t="s">
        <v>1724</v>
      </c>
      <c r="L309" s="82" t="s">
        <v>1841</v>
      </c>
      <c r="M309" s="83" t="s">
        <v>1880</v>
      </c>
      <c r="N309" s="74" t="b">
        <v>0</v>
      </c>
      <c r="O309" s="74" t="b">
        <v>0</v>
      </c>
      <c r="P309" s="74" t="b">
        <v>0</v>
      </c>
      <c r="Q309" s="82" t="s">
        <v>319</v>
      </c>
      <c r="R309" s="83" t="s">
        <v>1727</v>
      </c>
      <c r="S309" s="82" t="s">
        <v>1728</v>
      </c>
      <c r="T309" s="41"/>
      <c r="U309" s="41"/>
      <c r="V309" s="41"/>
      <c r="W309" s="41"/>
      <c r="X309" s="41"/>
      <c r="Y309" s="41"/>
      <c r="Z309" s="41"/>
      <c r="AA309" s="41"/>
      <c r="AB309" s="41"/>
      <c r="AC309" s="41"/>
    </row>
    <row r="310" ht="15.75" customHeight="1">
      <c r="A310" s="82" t="s">
        <v>122</v>
      </c>
      <c r="B310" s="82" t="s">
        <v>1881</v>
      </c>
      <c r="C310" s="82" t="s">
        <v>46</v>
      </c>
      <c r="D310" s="82" t="s">
        <v>1718</v>
      </c>
      <c r="E310" s="82" t="s">
        <v>1719</v>
      </c>
      <c r="F310" s="82" t="s">
        <v>1720</v>
      </c>
      <c r="G310" s="82" t="s">
        <v>1721</v>
      </c>
      <c r="H310" s="82" t="s">
        <v>1722</v>
      </c>
      <c r="I310" s="41"/>
      <c r="J310" s="82" t="s">
        <v>1723</v>
      </c>
      <c r="K310" s="82" t="s">
        <v>1724</v>
      </c>
      <c r="L310" s="82" t="s">
        <v>1882</v>
      </c>
      <c r="M310" s="83" t="s">
        <v>1883</v>
      </c>
      <c r="N310" s="74" t="b">
        <v>0</v>
      </c>
      <c r="O310" s="74" t="b">
        <v>0</v>
      </c>
      <c r="P310" s="74" t="b">
        <v>0</v>
      </c>
      <c r="Q310" s="82" t="s">
        <v>319</v>
      </c>
      <c r="R310" s="83" t="s">
        <v>1727</v>
      </c>
      <c r="S310" s="82" t="s">
        <v>1728</v>
      </c>
      <c r="T310" s="41"/>
      <c r="U310" s="41"/>
      <c r="V310" s="41"/>
      <c r="W310" s="41"/>
      <c r="X310" s="41"/>
      <c r="Y310" s="41"/>
      <c r="Z310" s="41"/>
      <c r="AA310" s="41"/>
      <c r="AB310" s="41"/>
      <c r="AC310" s="41"/>
    </row>
    <row r="311" ht="15.75" customHeight="1">
      <c r="A311" s="82" t="s">
        <v>122</v>
      </c>
      <c r="B311" s="82" t="s">
        <v>1884</v>
      </c>
      <c r="C311" s="82" t="s">
        <v>46</v>
      </c>
      <c r="D311" s="82" t="s">
        <v>1718</v>
      </c>
      <c r="E311" s="82" t="s">
        <v>1719</v>
      </c>
      <c r="F311" s="82" t="s">
        <v>1720</v>
      </c>
      <c r="G311" s="82" t="s">
        <v>1721</v>
      </c>
      <c r="H311" s="82" t="s">
        <v>1722</v>
      </c>
      <c r="I311" s="41"/>
      <c r="J311" s="82" t="s">
        <v>1723</v>
      </c>
      <c r="K311" s="82" t="s">
        <v>1724</v>
      </c>
      <c r="L311" s="82" t="s">
        <v>1767</v>
      </c>
      <c r="M311" s="83" t="s">
        <v>1885</v>
      </c>
      <c r="N311" s="74" t="b">
        <v>0</v>
      </c>
      <c r="O311" s="74" t="b">
        <v>0</v>
      </c>
      <c r="P311" s="74" t="b">
        <v>0</v>
      </c>
      <c r="Q311" s="82" t="s">
        <v>319</v>
      </c>
      <c r="R311" s="83" t="s">
        <v>1727</v>
      </c>
      <c r="S311" s="82" t="s">
        <v>1728</v>
      </c>
      <c r="T311" s="41"/>
      <c r="U311" s="41"/>
      <c r="V311" s="41"/>
      <c r="W311" s="41"/>
      <c r="X311" s="41"/>
      <c r="Y311" s="41"/>
      <c r="Z311" s="41"/>
      <c r="AA311" s="41"/>
      <c r="AB311" s="41"/>
      <c r="AC311" s="41"/>
    </row>
    <row r="312" ht="15.75" customHeight="1">
      <c r="A312" s="82" t="s">
        <v>122</v>
      </c>
      <c r="B312" s="82" t="s">
        <v>1886</v>
      </c>
      <c r="C312" s="82" t="s">
        <v>46</v>
      </c>
      <c r="D312" s="82" t="s">
        <v>1718</v>
      </c>
      <c r="E312" s="82" t="s">
        <v>1719</v>
      </c>
      <c r="F312" s="82" t="s">
        <v>1730</v>
      </c>
      <c r="G312" s="82" t="s">
        <v>1721</v>
      </c>
      <c r="H312" s="82" t="s">
        <v>1722</v>
      </c>
      <c r="I312" s="41"/>
      <c r="J312" s="82" t="s">
        <v>1723</v>
      </c>
      <c r="K312" s="82" t="s">
        <v>1724</v>
      </c>
      <c r="L312" s="82" t="s">
        <v>1731</v>
      </c>
      <c r="M312" s="83" t="s">
        <v>1887</v>
      </c>
      <c r="N312" s="74" t="b">
        <v>0</v>
      </c>
      <c r="O312" s="74" t="b">
        <v>0</v>
      </c>
      <c r="P312" s="74" t="b">
        <v>0</v>
      </c>
      <c r="Q312" s="82" t="s">
        <v>319</v>
      </c>
      <c r="R312" s="83" t="s">
        <v>1727</v>
      </c>
      <c r="S312" s="82" t="s">
        <v>1728</v>
      </c>
      <c r="T312" s="41"/>
      <c r="U312" s="41"/>
      <c r="V312" s="41"/>
      <c r="W312" s="41"/>
      <c r="X312" s="41"/>
      <c r="Y312" s="41"/>
      <c r="Z312" s="41"/>
      <c r="AA312" s="41"/>
      <c r="AB312" s="41"/>
      <c r="AC312" s="41"/>
    </row>
    <row r="313" ht="15.75" customHeight="1">
      <c r="A313" s="82" t="s">
        <v>122</v>
      </c>
      <c r="B313" s="82" t="s">
        <v>1888</v>
      </c>
      <c r="C313" s="82" t="s">
        <v>46</v>
      </c>
      <c r="D313" s="82" t="s">
        <v>1718</v>
      </c>
      <c r="E313" s="82" t="s">
        <v>1719</v>
      </c>
      <c r="F313" s="82" t="s">
        <v>1720</v>
      </c>
      <c r="G313" s="82" t="s">
        <v>1721</v>
      </c>
      <c r="H313" s="82" t="s">
        <v>1722</v>
      </c>
      <c r="I313" s="41"/>
      <c r="J313" s="82" t="s">
        <v>1723</v>
      </c>
      <c r="K313" s="82" t="s">
        <v>1724</v>
      </c>
      <c r="L313" s="82" t="s">
        <v>1725</v>
      </c>
      <c r="M313" s="83" t="s">
        <v>1889</v>
      </c>
      <c r="N313" s="74" t="b">
        <v>0</v>
      </c>
      <c r="O313" s="74" t="b">
        <v>0</v>
      </c>
      <c r="P313" s="74" t="b">
        <v>0</v>
      </c>
      <c r="Q313" s="82" t="s">
        <v>319</v>
      </c>
      <c r="R313" s="83" t="s">
        <v>1727</v>
      </c>
      <c r="S313" s="82" t="s">
        <v>1728</v>
      </c>
      <c r="T313" s="41"/>
      <c r="U313" s="41"/>
      <c r="V313" s="41"/>
      <c r="W313" s="41"/>
      <c r="X313" s="41"/>
      <c r="Y313" s="41"/>
      <c r="Z313" s="41"/>
      <c r="AA313" s="41"/>
      <c r="AB313" s="41"/>
      <c r="AC313" s="41"/>
    </row>
    <row r="314" ht="15.75" customHeight="1">
      <c r="A314" s="82" t="s">
        <v>122</v>
      </c>
      <c r="B314" s="82" t="s">
        <v>1890</v>
      </c>
      <c r="C314" s="82" t="s">
        <v>46</v>
      </c>
      <c r="D314" s="82" t="s">
        <v>1718</v>
      </c>
      <c r="E314" s="82" t="s">
        <v>1719</v>
      </c>
      <c r="F314" s="82" t="s">
        <v>1754</v>
      </c>
      <c r="G314" s="82" t="s">
        <v>1721</v>
      </c>
      <c r="H314" s="82" t="s">
        <v>1722</v>
      </c>
      <c r="I314" s="41"/>
      <c r="J314" s="82" t="s">
        <v>1723</v>
      </c>
      <c r="K314" s="82" t="s">
        <v>1724</v>
      </c>
      <c r="L314" s="82" t="s">
        <v>1891</v>
      </c>
      <c r="M314" s="83" t="s">
        <v>1892</v>
      </c>
      <c r="N314" s="74" t="b">
        <v>0</v>
      </c>
      <c r="O314" s="74" t="b">
        <v>0</v>
      </c>
      <c r="P314" s="74" t="b">
        <v>0</v>
      </c>
      <c r="Q314" s="82" t="s">
        <v>319</v>
      </c>
      <c r="R314" s="83" t="s">
        <v>1727</v>
      </c>
      <c r="S314" s="82" t="s">
        <v>1728</v>
      </c>
      <c r="T314" s="41"/>
      <c r="U314" s="41"/>
      <c r="V314" s="41"/>
      <c r="W314" s="41"/>
      <c r="X314" s="41"/>
      <c r="Y314" s="41"/>
      <c r="Z314" s="41"/>
      <c r="AA314" s="41"/>
      <c r="AB314" s="41"/>
      <c r="AC314" s="41"/>
    </row>
    <row r="315" ht="15.75" customHeight="1">
      <c r="A315" s="82" t="s">
        <v>122</v>
      </c>
      <c r="B315" s="82" t="s">
        <v>1893</v>
      </c>
      <c r="C315" s="82" t="s">
        <v>46</v>
      </c>
      <c r="D315" s="82" t="s">
        <v>1718</v>
      </c>
      <c r="E315" s="82" t="s">
        <v>1719</v>
      </c>
      <c r="F315" s="82" t="s">
        <v>1754</v>
      </c>
      <c r="G315" s="82" t="s">
        <v>1721</v>
      </c>
      <c r="H315" s="82" t="s">
        <v>1722</v>
      </c>
      <c r="I315" s="41"/>
      <c r="J315" s="82" t="s">
        <v>1723</v>
      </c>
      <c r="K315" s="82" t="s">
        <v>1724</v>
      </c>
      <c r="L315" s="82" t="s">
        <v>1894</v>
      </c>
      <c r="M315" s="83" t="s">
        <v>1895</v>
      </c>
      <c r="N315" s="74" t="b">
        <v>0</v>
      </c>
      <c r="O315" s="74" t="b">
        <v>0</v>
      </c>
      <c r="P315" s="74" t="b">
        <v>0</v>
      </c>
      <c r="Q315" s="82" t="s">
        <v>319</v>
      </c>
      <c r="R315" s="83" t="s">
        <v>1727</v>
      </c>
      <c r="S315" s="82" t="s">
        <v>1728</v>
      </c>
      <c r="T315" s="41"/>
      <c r="U315" s="41"/>
      <c r="V315" s="41"/>
      <c r="W315" s="41"/>
      <c r="X315" s="41"/>
      <c r="Y315" s="41"/>
      <c r="Z315" s="41"/>
      <c r="AA315" s="41"/>
      <c r="AB315" s="41"/>
      <c r="AC315" s="41"/>
    </row>
    <row r="316" ht="15.75" customHeight="1">
      <c r="A316" s="82" t="s">
        <v>122</v>
      </c>
      <c r="B316" s="82" t="s">
        <v>1896</v>
      </c>
      <c r="C316" s="82" t="s">
        <v>46</v>
      </c>
      <c r="D316" s="82" t="s">
        <v>1718</v>
      </c>
      <c r="E316" s="82" t="s">
        <v>1719</v>
      </c>
      <c r="F316" s="82" t="s">
        <v>1720</v>
      </c>
      <c r="G316" s="82" t="s">
        <v>1721</v>
      </c>
      <c r="H316" s="82" t="s">
        <v>1722</v>
      </c>
      <c r="I316" s="41"/>
      <c r="J316" s="82" t="s">
        <v>1723</v>
      </c>
      <c r="K316" s="82" t="s">
        <v>1724</v>
      </c>
      <c r="L316" s="82" t="s">
        <v>1897</v>
      </c>
      <c r="M316" s="83" t="s">
        <v>1898</v>
      </c>
      <c r="N316" s="74" t="b">
        <v>0</v>
      </c>
      <c r="O316" s="74" t="b">
        <v>0</v>
      </c>
      <c r="P316" s="74" t="b">
        <v>0</v>
      </c>
      <c r="Q316" s="82" t="s">
        <v>319</v>
      </c>
      <c r="R316" s="83" t="s">
        <v>1727</v>
      </c>
      <c r="S316" s="82" t="s">
        <v>1728</v>
      </c>
      <c r="T316" s="41"/>
      <c r="U316" s="41"/>
      <c r="V316" s="41"/>
      <c r="W316" s="41"/>
      <c r="X316" s="41"/>
      <c r="Y316" s="41"/>
      <c r="Z316" s="41"/>
      <c r="AA316" s="41"/>
      <c r="AB316" s="41"/>
      <c r="AC316" s="41"/>
    </row>
    <row r="317" ht="15.75" customHeight="1">
      <c r="A317" s="82" t="s">
        <v>122</v>
      </c>
      <c r="B317" s="82" t="s">
        <v>1899</v>
      </c>
      <c r="C317" s="82" t="s">
        <v>46</v>
      </c>
      <c r="D317" s="82" t="s">
        <v>1718</v>
      </c>
      <c r="E317" s="82" t="s">
        <v>1719</v>
      </c>
      <c r="F317" s="82" t="s">
        <v>1720</v>
      </c>
      <c r="G317" s="82" t="s">
        <v>1721</v>
      </c>
      <c r="H317" s="82" t="s">
        <v>1722</v>
      </c>
      <c r="I317" s="41"/>
      <c r="J317" s="82" t="s">
        <v>1723</v>
      </c>
      <c r="K317" s="82" t="s">
        <v>1724</v>
      </c>
      <c r="L317" s="82" t="s">
        <v>1738</v>
      </c>
      <c r="M317" s="83" t="s">
        <v>1900</v>
      </c>
      <c r="N317" s="74" t="b">
        <v>0</v>
      </c>
      <c r="O317" s="74" t="b">
        <v>0</v>
      </c>
      <c r="P317" s="74" t="b">
        <v>0</v>
      </c>
      <c r="Q317" s="82" t="s">
        <v>319</v>
      </c>
      <c r="R317" s="83" t="s">
        <v>1727</v>
      </c>
      <c r="S317" s="82" t="s">
        <v>1728</v>
      </c>
      <c r="T317" s="41"/>
      <c r="U317" s="41"/>
      <c r="V317" s="41"/>
      <c r="W317" s="41"/>
      <c r="X317" s="41"/>
      <c r="Y317" s="41"/>
      <c r="Z317" s="41"/>
      <c r="AA317" s="41"/>
      <c r="AB317" s="41"/>
      <c r="AC317" s="41"/>
    </row>
    <row r="318" ht="15.75" customHeight="1">
      <c r="A318" s="82" t="s">
        <v>122</v>
      </c>
      <c r="B318" s="82" t="s">
        <v>1901</v>
      </c>
      <c r="C318" s="82" t="s">
        <v>46</v>
      </c>
      <c r="D318" s="82" t="s">
        <v>1718</v>
      </c>
      <c r="E318" s="82" t="s">
        <v>1719</v>
      </c>
      <c r="F318" s="82" t="s">
        <v>1720</v>
      </c>
      <c r="G318" s="82" t="s">
        <v>1721</v>
      </c>
      <c r="H318" s="82" t="s">
        <v>1722</v>
      </c>
      <c r="I318" s="41"/>
      <c r="J318" s="82" t="s">
        <v>1723</v>
      </c>
      <c r="K318" s="82" t="s">
        <v>1724</v>
      </c>
      <c r="L318" s="82" t="s">
        <v>1867</v>
      </c>
      <c r="M318" s="83" t="s">
        <v>1902</v>
      </c>
      <c r="N318" s="74" t="b">
        <v>0</v>
      </c>
      <c r="O318" s="74" t="b">
        <v>0</v>
      </c>
      <c r="P318" s="74" t="b">
        <v>0</v>
      </c>
      <c r="Q318" s="82" t="s">
        <v>319</v>
      </c>
      <c r="R318" s="83" t="s">
        <v>1727</v>
      </c>
      <c r="S318" s="82" t="s">
        <v>1728</v>
      </c>
      <c r="T318" s="41"/>
      <c r="U318" s="41"/>
      <c r="V318" s="41"/>
      <c r="W318" s="41"/>
      <c r="X318" s="41"/>
      <c r="Y318" s="41"/>
      <c r="Z318" s="41"/>
      <c r="AA318" s="41"/>
      <c r="AB318" s="41"/>
      <c r="AC318" s="41"/>
    </row>
    <row r="319" ht="15.75" customHeight="1">
      <c r="A319" s="82" t="s">
        <v>122</v>
      </c>
      <c r="B319" s="82" t="s">
        <v>1903</v>
      </c>
      <c r="C319" s="82" t="s">
        <v>46</v>
      </c>
      <c r="D319" s="82" t="s">
        <v>1718</v>
      </c>
      <c r="E319" s="82" t="s">
        <v>1719</v>
      </c>
      <c r="F319" s="82" t="s">
        <v>1720</v>
      </c>
      <c r="G319" s="82" t="s">
        <v>1721</v>
      </c>
      <c r="H319" s="82" t="s">
        <v>1722</v>
      </c>
      <c r="I319" s="41"/>
      <c r="J319" s="82" t="s">
        <v>1723</v>
      </c>
      <c r="K319" s="82" t="s">
        <v>1724</v>
      </c>
      <c r="L319" s="82" t="s">
        <v>1904</v>
      </c>
      <c r="M319" s="83" t="s">
        <v>1905</v>
      </c>
      <c r="N319" s="74" t="b">
        <v>0</v>
      </c>
      <c r="O319" s="74" t="b">
        <v>0</v>
      </c>
      <c r="P319" s="74" t="b">
        <v>0</v>
      </c>
      <c r="Q319" s="82" t="s">
        <v>319</v>
      </c>
      <c r="R319" s="83" t="s">
        <v>1727</v>
      </c>
      <c r="S319" s="82" t="s">
        <v>1728</v>
      </c>
      <c r="T319" s="41"/>
      <c r="U319" s="41"/>
      <c r="V319" s="41"/>
      <c r="W319" s="41"/>
      <c r="X319" s="41"/>
      <c r="Y319" s="41"/>
      <c r="Z319" s="41"/>
      <c r="AA319" s="41"/>
      <c r="AB319" s="41"/>
      <c r="AC319" s="41"/>
    </row>
    <row r="320" ht="15.75" customHeight="1">
      <c r="A320" s="82" t="s">
        <v>122</v>
      </c>
      <c r="B320" s="82" t="s">
        <v>1906</v>
      </c>
      <c r="C320" s="82" t="s">
        <v>46</v>
      </c>
      <c r="D320" s="82" t="s">
        <v>1718</v>
      </c>
      <c r="E320" s="82" t="s">
        <v>1719</v>
      </c>
      <c r="F320" s="82" t="s">
        <v>1720</v>
      </c>
      <c r="G320" s="82" t="s">
        <v>1721</v>
      </c>
      <c r="H320" s="82" t="s">
        <v>1722</v>
      </c>
      <c r="I320" s="41"/>
      <c r="J320" s="82" t="s">
        <v>1723</v>
      </c>
      <c r="K320" s="82" t="s">
        <v>1724</v>
      </c>
      <c r="L320" s="82" t="s">
        <v>1738</v>
      </c>
      <c r="M320" s="83" t="s">
        <v>1907</v>
      </c>
      <c r="N320" s="74" t="b">
        <v>0</v>
      </c>
      <c r="O320" s="74" t="b">
        <v>0</v>
      </c>
      <c r="P320" s="74" t="b">
        <v>0</v>
      </c>
      <c r="Q320" s="82" t="s">
        <v>319</v>
      </c>
      <c r="R320" s="83" t="s">
        <v>1727</v>
      </c>
      <c r="S320" s="82" t="s">
        <v>1728</v>
      </c>
      <c r="T320" s="41"/>
      <c r="U320" s="41"/>
      <c r="V320" s="41"/>
      <c r="W320" s="41"/>
      <c r="X320" s="41"/>
      <c r="Y320" s="41"/>
      <c r="Z320" s="41"/>
      <c r="AA320" s="41"/>
      <c r="AB320" s="41"/>
      <c r="AC320" s="41"/>
    </row>
    <row r="321" ht="15.75" customHeight="1">
      <c r="A321" s="82" t="s">
        <v>122</v>
      </c>
      <c r="B321" s="82" t="s">
        <v>1908</v>
      </c>
      <c r="C321" s="82" t="s">
        <v>46</v>
      </c>
      <c r="D321" s="82" t="s">
        <v>1718</v>
      </c>
      <c r="E321" s="82" t="s">
        <v>1719</v>
      </c>
      <c r="F321" s="82" t="s">
        <v>1720</v>
      </c>
      <c r="G321" s="82" t="s">
        <v>1721</v>
      </c>
      <c r="H321" s="82" t="s">
        <v>1722</v>
      </c>
      <c r="I321" s="41"/>
      <c r="J321" s="82" t="s">
        <v>1723</v>
      </c>
      <c r="K321" s="82" t="s">
        <v>1724</v>
      </c>
      <c r="L321" s="82" t="s">
        <v>1909</v>
      </c>
      <c r="M321" s="83" t="s">
        <v>1910</v>
      </c>
      <c r="N321" s="74" t="b">
        <v>0</v>
      </c>
      <c r="O321" s="74" t="b">
        <v>0</v>
      </c>
      <c r="P321" s="74" t="b">
        <v>0</v>
      </c>
      <c r="Q321" s="82" t="s">
        <v>319</v>
      </c>
      <c r="R321" s="83" t="s">
        <v>1727</v>
      </c>
      <c r="S321" s="82" t="s">
        <v>1728</v>
      </c>
      <c r="T321" s="41"/>
      <c r="U321" s="41"/>
      <c r="V321" s="41"/>
      <c r="W321" s="41"/>
      <c r="X321" s="41"/>
      <c r="Y321" s="41"/>
      <c r="Z321" s="41"/>
      <c r="AA321" s="41"/>
      <c r="AB321" s="41"/>
      <c r="AC321" s="41"/>
    </row>
    <row r="322" ht="15.75" customHeight="1">
      <c r="A322" s="82" t="s">
        <v>122</v>
      </c>
      <c r="B322" s="82" t="s">
        <v>1911</v>
      </c>
      <c r="C322" s="82" t="s">
        <v>46</v>
      </c>
      <c r="D322" s="82" t="s">
        <v>1718</v>
      </c>
      <c r="E322" s="82" t="s">
        <v>1719</v>
      </c>
      <c r="F322" s="82" t="s">
        <v>1754</v>
      </c>
      <c r="G322" s="82" t="s">
        <v>1721</v>
      </c>
      <c r="H322" s="82" t="s">
        <v>1722</v>
      </c>
      <c r="I322" s="41"/>
      <c r="J322" s="82" t="s">
        <v>1723</v>
      </c>
      <c r="K322" s="82" t="s">
        <v>1724</v>
      </c>
      <c r="L322" s="82" t="s">
        <v>1912</v>
      </c>
      <c r="M322" s="83" t="s">
        <v>1913</v>
      </c>
      <c r="N322" s="74" t="b">
        <v>0</v>
      </c>
      <c r="O322" s="74" t="b">
        <v>0</v>
      </c>
      <c r="P322" s="74" t="b">
        <v>0</v>
      </c>
      <c r="Q322" s="82" t="s">
        <v>319</v>
      </c>
      <c r="R322" s="83" t="s">
        <v>1727</v>
      </c>
      <c r="S322" s="82" t="s">
        <v>1728</v>
      </c>
      <c r="T322" s="41"/>
      <c r="U322" s="41"/>
      <c r="V322" s="41"/>
      <c r="W322" s="41"/>
      <c r="X322" s="41"/>
      <c r="Y322" s="41"/>
      <c r="Z322" s="41"/>
      <c r="AA322" s="41"/>
      <c r="AB322" s="41"/>
      <c r="AC322" s="41"/>
    </row>
    <row r="323" ht="15.75" customHeight="1">
      <c r="A323" s="82" t="s">
        <v>122</v>
      </c>
      <c r="B323" s="82" t="s">
        <v>1914</v>
      </c>
      <c r="C323" s="82" t="s">
        <v>46</v>
      </c>
      <c r="D323" s="82" t="s">
        <v>1718</v>
      </c>
      <c r="E323" s="82" t="s">
        <v>1719</v>
      </c>
      <c r="F323" s="82" t="s">
        <v>1730</v>
      </c>
      <c r="G323" s="82" t="s">
        <v>1721</v>
      </c>
      <c r="H323" s="82" t="s">
        <v>1722</v>
      </c>
      <c r="I323" s="41"/>
      <c r="J323" s="82" t="s">
        <v>1723</v>
      </c>
      <c r="K323" s="82" t="s">
        <v>1724</v>
      </c>
      <c r="L323" s="82" t="s">
        <v>1915</v>
      </c>
      <c r="M323" s="83" t="s">
        <v>1916</v>
      </c>
      <c r="N323" s="74" t="b">
        <v>0</v>
      </c>
      <c r="O323" s="74" t="b">
        <v>0</v>
      </c>
      <c r="P323" s="74" t="b">
        <v>0</v>
      </c>
      <c r="Q323" s="82" t="s">
        <v>319</v>
      </c>
      <c r="R323" s="83" t="s">
        <v>1727</v>
      </c>
      <c r="S323" s="82" t="s">
        <v>1728</v>
      </c>
      <c r="T323" s="41"/>
      <c r="U323" s="41"/>
      <c r="V323" s="41"/>
      <c r="W323" s="41"/>
      <c r="X323" s="41"/>
      <c r="Y323" s="41"/>
      <c r="Z323" s="41"/>
      <c r="AA323" s="41"/>
      <c r="AB323" s="41"/>
      <c r="AC323" s="41"/>
    </row>
    <row r="324" ht="15.75" customHeight="1">
      <c r="A324" s="82" t="s">
        <v>122</v>
      </c>
      <c r="B324" s="82" t="s">
        <v>1917</v>
      </c>
      <c r="C324" s="82" t="s">
        <v>46</v>
      </c>
      <c r="D324" s="82" t="s">
        <v>1718</v>
      </c>
      <c r="E324" s="82" t="s">
        <v>1719</v>
      </c>
      <c r="F324" s="82" t="s">
        <v>1720</v>
      </c>
      <c r="G324" s="82" t="s">
        <v>1721</v>
      </c>
      <c r="H324" s="82" t="s">
        <v>1722</v>
      </c>
      <c r="I324" s="41"/>
      <c r="J324" s="82" t="s">
        <v>1723</v>
      </c>
      <c r="K324" s="82" t="s">
        <v>1724</v>
      </c>
      <c r="L324" s="82" t="s">
        <v>1830</v>
      </c>
      <c r="M324" s="83" t="s">
        <v>1918</v>
      </c>
      <c r="N324" s="74" t="b">
        <v>0</v>
      </c>
      <c r="O324" s="74" t="b">
        <v>0</v>
      </c>
      <c r="P324" s="74" t="b">
        <v>0</v>
      </c>
      <c r="Q324" s="82" t="s">
        <v>319</v>
      </c>
      <c r="R324" s="83" t="s">
        <v>1727</v>
      </c>
      <c r="S324" s="82" t="s">
        <v>1728</v>
      </c>
      <c r="T324" s="41"/>
      <c r="U324" s="41"/>
      <c r="V324" s="41"/>
      <c r="W324" s="41"/>
      <c r="X324" s="41"/>
      <c r="Y324" s="41"/>
      <c r="Z324" s="41"/>
      <c r="AA324" s="41"/>
      <c r="AB324" s="41"/>
      <c r="AC324" s="41"/>
    </row>
    <row r="325" ht="15.75" customHeight="1">
      <c r="A325" s="82" t="s">
        <v>122</v>
      </c>
      <c r="B325" s="82" t="s">
        <v>1919</v>
      </c>
      <c r="C325" s="82" t="s">
        <v>46</v>
      </c>
      <c r="D325" s="82" t="s">
        <v>1718</v>
      </c>
      <c r="E325" s="82" t="s">
        <v>1719</v>
      </c>
      <c r="F325" s="82" t="s">
        <v>1720</v>
      </c>
      <c r="G325" s="82" t="s">
        <v>1721</v>
      </c>
      <c r="H325" s="82" t="s">
        <v>1722</v>
      </c>
      <c r="I325" s="41"/>
      <c r="J325" s="82" t="s">
        <v>1723</v>
      </c>
      <c r="K325" s="82" t="s">
        <v>1724</v>
      </c>
      <c r="L325" s="82" t="s">
        <v>1725</v>
      </c>
      <c r="M325" s="83" t="s">
        <v>1920</v>
      </c>
      <c r="N325" s="74" t="b">
        <v>0</v>
      </c>
      <c r="O325" s="74" t="b">
        <v>0</v>
      </c>
      <c r="P325" s="74" t="b">
        <v>0</v>
      </c>
      <c r="Q325" s="82" t="s">
        <v>319</v>
      </c>
      <c r="R325" s="83" t="s">
        <v>1727</v>
      </c>
      <c r="S325" s="82" t="s">
        <v>1728</v>
      </c>
      <c r="T325" s="41"/>
      <c r="U325" s="41"/>
      <c r="V325" s="41"/>
      <c r="W325" s="41"/>
      <c r="X325" s="41"/>
      <c r="Y325" s="41"/>
      <c r="Z325" s="41"/>
      <c r="AA325" s="41"/>
      <c r="AB325" s="41"/>
      <c r="AC325" s="41"/>
    </row>
    <row r="326" ht="15.75" customHeight="1">
      <c r="A326" s="82" t="s">
        <v>122</v>
      </c>
      <c r="B326" s="82" t="s">
        <v>1921</v>
      </c>
      <c r="C326" s="82" t="s">
        <v>46</v>
      </c>
      <c r="D326" s="82" t="s">
        <v>1718</v>
      </c>
      <c r="E326" s="82" t="s">
        <v>1719</v>
      </c>
      <c r="F326" s="82" t="s">
        <v>1720</v>
      </c>
      <c r="G326" s="82" t="s">
        <v>1721</v>
      </c>
      <c r="H326" s="82" t="s">
        <v>1722</v>
      </c>
      <c r="I326" s="41"/>
      <c r="J326" s="82" t="s">
        <v>1723</v>
      </c>
      <c r="K326" s="82" t="s">
        <v>1724</v>
      </c>
      <c r="L326" s="82" t="s">
        <v>1922</v>
      </c>
      <c r="M326" s="83" t="s">
        <v>1923</v>
      </c>
      <c r="N326" s="74" t="b">
        <v>0</v>
      </c>
      <c r="O326" s="74" t="b">
        <v>0</v>
      </c>
      <c r="P326" s="74" t="b">
        <v>0</v>
      </c>
      <c r="Q326" s="82" t="s">
        <v>319</v>
      </c>
      <c r="R326" s="83" t="s">
        <v>1727</v>
      </c>
      <c r="S326" s="82" t="s">
        <v>1728</v>
      </c>
      <c r="T326" s="41"/>
      <c r="U326" s="41"/>
      <c r="V326" s="41"/>
      <c r="W326" s="41"/>
      <c r="X326" s="41"/>
      <c r="Y326" s="41"/>
      <c r="Z326" s="41"/>
      <c r="AA326" s="41"/>
      <c r="AB326" s="41"/>
      <c r="AC326" s="41"/>
    </row>
    <row r="327" ht="15.75" customHeight="1">
      <c r="A327" s="82" t="s">
        <v>122</v>
      </c>
      <c r="B327" s="82" t="s">
        <v>1924</v>
      </c>
      <c r="C327" s="82" t="s">
        <v>46</v>
      </c>
      <c r="D327" s="82" t="s">
        <v>1718</v>
      </c>
      <c r="E327" s="82" t="s">
        <v>1719</v>
      </c>
      <c r="F327" s="82" t="s">
        <v>1730</v>
      </c>
      <c r="G327" s="82" t="s">
        <v>1721</v>
      </c>
      <c r="H327" s="82" t="s">
        <v>1722</v>
      </c>
      <c r="I327" s="41"/>
      <c r="J327" s="82" t="s">
        <v>1723</v>
      </c>
      <c r="K327" s="82" t="s">
        <v>1724</v>
      </c>
      <c r="L327" s="82" t="s">
        <v>1731</v>
      </c>
      <c r="M327" s="83" t="s">
        <v>1925</v>
      </c>
      <c r="N327" s="74" t="b">
        <v>0</v>
      </c>
      <c r="O327" s="74" t="b">
        <v>0</v>
      </c>
      <c r="P327" s="74" t="b">
        <v>0</v>
      </c>
      <c r="Q327" s="82" t="s">
        <v>319</v>
      </c>
      <c r="R327" s="83" t="s">
        <v>1727</v>
      </c>
      <c r="S327" s="82" t="s">
        <v>1728</v>
      </c>
      <c r="T327" s="41"/>
      <c r="U327" s="41"/>
      <c r="V327" s="41"/>
      <c r="W327" s="41"/>
      <c r="X327" s="41"/>
      <c r="Y327" s="41"/>
      <c r="Z327" s="41"/>
      <c r="AA327" s="41"/>
      <c r="AB327" s="41"/>
      <c r="AC327" s="41"/>
    </row>
    <row r="328" ht="15.75" customHeight="1">
      <c r="A328" s="82" t="s">
        <v>122</v>
      </c>
      <c r="B328" s="82" t="s">
        <v>1926</v>
      </c>
      <c r="C328" s="82" t="s">
        <v>46</v>
      </c>
      <c r="D328" s="82" t="s">
        <v>1718</v>
      </c>
      <c r="E328" s="82" t="s">
        <v>1719</v>
      </c>
      <c r="F328" s="82" t="s">
        <v>1720</v>
      </c>
      <c r="G328" s="82" t="s">
        <v>1721</v>
      </c>
      <c r="H328" s="82" t="s">
        <v>1722</v>
      </c>
      <c r="I328" s="41"/>
      <c r="J328" s="82" t="s">
        <v>1723</v>
      </c>
      <c r="K328" s="82" t="s">
        <v>1724</v>
      </c>
      <c r="L328" s="82" t="s">
        <v>1927</v>
      </c>
      <c r="M328" s="83" t="s">
        <v>1928</v>
      </c>
      <c r="N328" s="74" t="b">
        <v>0</v>
      </c>
      <c r="O328" s="74" t="b">
        <v>0</v>
      </c>
      <c r="P328" s="74" t="b">
        <v>0</v>
      </c>
      <c r="Q328" s="82" t="s">
        <v>319</v>
      </c>
      <c r="R328" s="83" t="s">
        <v>1727</v>
      </c>
      <c r="S328" s="82" t="s">
        <v>1728</v>
      </c>
      <c r="T328" s="41"/>
      <c r="U328" s="41"/>
      <c r="V328" s="41"/>
      <c r="W328" s="41"/>
      <c r="X328" s="41"/>
      <c r="Y328" s="41"/>
      <c r="Z328" s="41"/>
      <c r="AA328" s="41"/>
      <c r="AB328" s="41"/>
      <c r="AC328" s="41"/>
    </row>
    <row r="329" ht="15.75" customHeight="1">
      <c r="A329" s="82" t="s">
        <v>122</v>
      </c>
      <c r="B329" s="82" t="s">
        <v>1929</v>
      </c>
      <c r="C329" s="82" t="s">
        <v>46</v>
      </c>
      <c r="D329" s="82" t="s">
        <v>1718</v>
      </c>
      <c r="E329" s="82" t="s">
        <v>1719</v>
      </c>
      <c r="F329" s="82" t="s">
        <v>1720</v>
      </c>
      <c r="G329" s="82" t="s">
        <v>1721</v>
      </c>
      <c r="H329" s="82" t="s">
        <v>1722</v>
      </c>
      <c r="I329" s="41"/>
      <c r="J329" s="82" t="s">
        <v>1723</v>
      </c>
      <c r="K329" s="82" t="s">
        <v>1724</v>
      </c>
      <c r="L329" s="82" t="s">
        <v>1725</v>
      </c>
      <c r="M329" s="83" t="s">
        <v>1930</v>
      </c>
      <c r="N329" s="74" t="b">
        <v>0</v>
      </c>
      <c r="O329" s="74" t="b">
        <v>0</v>
      </c>
      <c r="P329" s="74" t="b">
        <v>0</v>
      </c>
      <c r="Q329" s="82" t="s">
        <v>319</v>
      </c>
      <c r="R329" s="83" t="s">
        <v>1727</v>
      </c>
      <c r="S329" s="82" t="s">
        <v>1728</v>
      </c>
      <c r="T329" s="41"/>
      <c r="U329" s="41"/>
      <c r="V329" s="41"/>
      <c r="W329" s="41"/>
      <c r="X329" s="41"/>
      <c r="Y329" s="41"/>
      <c r="Z329" s="41"/>
      <c r="AA329" s="41"/>
      <c r="AB329" s="41"/>
      <c r="AC329" s="41"/>
    </row>
    <row r="330" ht="15.75" customHeight="1">
      <c r="A330" s="82" t="s">
        <v>122</v>
      </c>
      <c r="B330" s="82" t="s">
        <v>1931</v>
      </c>
      <c r="C330" s="82" t="s">
        <v>46</v>
      </c>
      <c r="D330" s="82" t="s">
        <v>1718</v>
      </c>
      <c r="E330" s="82" t="s">
        <v>1719</v>
      </c>
      <c r="F330" s="82" t="s">
        <v>1754</v>
      </c>
      <c r="G330" s="82" t="s">
        <v>1721</v>
      </c>
      <c r="H330" s="82" t="s">
        <v>1722</v>
      </c>
      <c r="I330" s="41"/>
      <c r="J330" s="82" t="s">
        <v>1723</v>
      </c>
      <c r="K330" s="82" t="s">
        <v>1724</v>
      </c>
      <c r="L330" s="82" t="s">
        <v>1847</v>
      </c>
      <c r="M330" s="83" t="s">
        <v>1932</v>
      </c>
      <c r="N330" s="74" t="b">
        <v>0</v>
      </c>
      <c r="O330" s="74" t="b">
        <v>0</v>
      </c>
      <c r="P330" s="74" t="b">
        <v>0</v>
      </c>
      <c r="Q330" s="82" t="s">
        <v>319</v>
      </c>
      <c r="R330" s="83" t="s">
        <v>1727</v>
      </c>
      <c r="S330" s="82" t="s">
        <v>1728</v>
      </c>
      <c r="T330" s="41"/>
      <c r="U330" s="41"/>
      <c r="V330" s="41"/>
      <c r="W330" s="41"/>
      <c r="X330" s="41"/>
      <c r="Y330" s="41"/>
      <c r="Z330" s="41"/>
      <c r="AA330" s="41"/>
      <c r="AB330" s="41"/>
      <c r="AC330" s="41"/>
    </row>
    <row r="331" ht="15.75" customHeight="1">
      <c r="A331" s="82" t="s">
        <v>122</v>
      </c>
      <c r="B331" s="82" t="s">
        <v>1933</v>
      </c>
      <c r="C331" s="82" t="s">
        <v>46</v>
      </c>
      <c r="D331" s="82" t="s">
        <v>1718</v>
      </c>
      <c r="E331" s="82" t="s">
        <v>1719</v>
      </c>
      <c r="F331" s="82" t="s">
        <v>1720</v>
      </c>
      <c r="G331" s="82" t="s">
        <v>1721</v>
      </c>
      <c r="H331" s="82" t="s">
        <v>1722</v>
      </c>
      <c r="I331" s="41"/>
      <c r="J331" s="82" t="s">
        <v>1723</v>
      </c>
      <c r="K331" s="82" t="s">
        <v>1724</v>
      </c>
      <c r="L331" s="82" t="s">
        <v>1934</v>
      </c>
      <c r="M331" s="83" t="s">
        <v>1935</v>
      </c>
      <c r="N331" s="74" t="b">
        <v>0</v>
      </c>
      <c r="O331" s="74" t="b">
        <v>0</v>
      </c>
      <c r="P331" s="74" t="b">
        <v>0</v>
      </c>
      <c r="Q331" s="82" t="s">
        <v>319</v>
      </c>
      <c r="R331" s="83" t="s">
        <v>1727</v>
      </c>
      <c r="S331" s="82" t="s">
        <v>1728</v>
      </c>
      <c r="T331" s="41"/>
      <c r="U331" s="41"/>
      <c r="V331" s="41"/>
      <c r="W331" s="41"/>
      <c r="X331" s="41"/>
      <c r="Y331" s="41"/>
      <c r="Z331" s="41"/>
      <c r="AA331" s="41"/>
      <c r="AB331" s="41"/>
      <c r="AC331" s="41"/>
    </row>
    <row r="332" ht="15.75" customHeight="1">
      <c r="A332" s="82" t="s">
        <v>122</v>
      </c>
      <c r="B332" s="82" t="s">
        <v>1936</v>
      </c>
      <c r="C332" s="82" t="s">
        <v>46</v>
      </c>
      <c r="D332" s="82" t="s">
        <v>1718</v>
      </c>
      <c r="E332" s="82" t="s">
        <v>1719</v>
      </c>
      <c r="F332" s="82" t="s">
        <v>1720</v>
      </c>
      <c r="G332" s="82" t="s">
        <v>1721</v>
      </c>
      <c r="H332" s="82" t="s">
        <v>1722</v>
      </c>
      <c r="I332" s="41"/>
      <c r="J332" s="82" t="s">
        <v>1723</v>
      </c>
      <c r="K332" s="82" t="s">
        <v>1724</v>
      </c>
      <c r="L332" s="82" t="s">
        <v>1937</v>
      </c>
      <c r="M332" s="83" t="s">
        <v>1938</v>
      </c>
      <c r="N332" s="74" t="b">
        <v>0</v>
      </c>
      <c r="O332" s="74" t="b">
        <v>0</v>
      </c>
      <c r="P332" s="74" t="b">
        <v>0</v>
      </c>
      <c r="Q332" s="82" t="s">
        <v>319</v>
      </c>
      <c r="R332" s="83" t="s">
        <v>1727</v>
      </c>
      <c r="S332" s="82" t="s">
        <v>1728</v>
      </c>
      <c r="T332" s="41"/>
      <c r="U332" s="41"/>
      <c r="V332" s="41"/>
      <c r="W332" s="41"/>
      <c r="X332" s="41"/>
      <c r="Y332" s="41"/>
      <c r="Z332" s="41"/>
      <c r="AA332" s="41"/>
      <c r="AB332" s="41"/>
      <c r="AC332" s="41"/>
    </row>
    <row r="333" ht="15.75" customHeight="1">
      <c r="A333" s="82" t="s">
        <v>122</v>
      </c>
      <c r="B333" s="82" t="s">
        <v>1939</v>
      </c>
      <c r="C333" s="82" t="s">
        <v>46</v>
      </c>
      <c r="D333" s="82" t="s">
        <v>1718</v>
      </c>
      <c r="E333" s="82" t="s">
        <v>1719</v>
      </c>
      <c r="F333" s="82" t="s">
        <v>1720</v>
      </c>
      <c r="G333" s="82" t="s">
        <v>1721</v>
      </c>
      <c r="H333" s="82" t="s">
        <v>1722</v>
      </c>
      <c r="I333" s="41"/>
      <c r="J333" s="82" t="s">
        <v>1723</v>
      </c>
      <c r="K333" s="82" t="s">
        <v>1724</v>
      </c>
      <c r="L333" s="82" t="s">
        <v>1738</v>
      </c>
      <c r="M333" s="83" t="s">
        <v>1940</v>
      </c>
      <c r="N333" s="74" t="b">
        <v>0</v>
      </c>
      <c r="O333" s="74" t="b">
        <v>0</v>
      </c>
      <c r="P333" s="74" t="b">
        <v>0</v>
      </c>
      <c r="Q333" s="82" t="s">
        <v>319</v>
      </c>
      <c r="R333" s="83" t="s">
        <v>1727</v>
      </c>
      <c r="S333" s="82" t="s">
        <v>1728</v>
      </c>
      <c r="T333" s="41"/>
      <c r="U333" s="41"/>
      <c r="V333" s="41"/>
      <c r="W333" s="41"/>
      <c r="X333" s="41"/>
      <c r="Y333" s="41"/>
      <c r="Z333" s="41"/>
      <c r="AA333" s="41"/>
      <c r="AB333" s="41"/>
      <c r="AC333" s="41"/>
    </row>
    <row r="334" ht="15.75" customHeight="1">
      <c r="A334" s="82" t="s">
        <v>122</v>
      </c>
      <c r="B334" s="82" t="s">
        <v>1941</v>
      </c>
      <c r="C334" s="82" t="s">
        <v>46</v>
      </c>
      <c r="D334" s="82" t="s">
        <v>1718</v>
      </c>
      <c r="E334" s="82" t="s">
        <v>1719</v>
      </c>
      <c r="F334" s="82" t="s">
        <v>1720</v>
      </c>
      <c r="G334" s="82" t="s">
        <v>1721</v>
      </c>
      <c r="H334" s="82" t="s">
        <v>1722</v>
      </c>
      <c r="I334" s="41"/>
      <c r="J334" s="82" t="s">
        <v>1723</v>
      </c>
      <c r="K334" s="82" t="s">
        <v>1724</v>
      </c>
      <c r="L334" s="82" t="s">
        <v>1942</v>
      </c>
      <c r="M334" s="83" t="s">
        <v>1943</v>
      </c>
      <c r="N334" s="74" t="b">
        <v>0</v>
      </c>
      <c r="O334" s="74" t="b">
        <v>0</v>
      </c>
      <c r="P334" s="74" t="b">
        <v>0</v>
      </c>
      <c r="Q334" s="82" t="s">
        <v>319</v>
      </c>
      <c r="R334" s="83" t="s">
        <v>1727</v>
      </c>
      <c r="S334" s="82" t="s">
        <v>1728</v>
      </c>
      <c r="T334" s="41"/>
      <c r="U334" s="41"/>
      <c r="V334" s="41"/>
      <c r="W334" s="41"/>
      <c r="X334" s="41"/>
      <c r="Y334" s="41"/>
      <c r="Z334" s="41"/>
      <c r="AA334" s="41"/>
      <c r="AB334" s="41"/>
      <c r="AC334" s="41"/>
    </row>
    <row r="335" ht="15.75" customHeight="1">
      <c r="A335" s="82" t="s">
        <v>122</v>
      </c>
      <c r="B335" s="82" t="s">
        <v>1944</v>
      </c>
      <c r="C335" s="82" t="s">
        <v>46</v>
      </c>
      <c r="D335" s="82" t="s">
        <v>1718</v>
      </c>
      <c r="E335" s="82" t="s">
        <v>1719</v>
      </c>
      <c r="F335" s="82" t="s">
        <v>1720</v>
      </c>
      <c r="G335" s="82" t="s">
        <v>1721</v>
      </c>
      <c r="H335" s="82" t="s">
        <v>1722</v>
      </c>
      <c r="I335" s="41"/>
      <c r="J335" s="82" t="s">
        <v>1723</v>
      </c>
      <c r="K335" s="82" t="s">
        <v>1724</v>
      </c>
      <c r="L335" s="82" t="s">
        <v>1945</v>
      </c>
      <c r="M335" s="83" t="s">
        <v>1946</v>
      </c>
      <c r="N335" s="74" t="b">
        <v>0</v>
      </c>
      <c r="O335" s="74" t="b">
        <v>0</v>
      </c>
      <c r="P335" s="74" t="b">
        <v>0</v>
      </c>
      <c r="Q335" s="82" t="s">
        <v>319</v>
      </c>
      <c r="R335" s="83" t="s">
        <v>1727</v>
      </c>
      <c r="S335" s="82" t="s">
        <v>1728</v>
      </c>
      <c r="T335" s="41"/>
      <c r="U335" s="41"/>
      <c r="V335" s="41"/>
      <c r="W335" s="41"/>
      <c r="X335" s="41"/>
      <c r="Y335" s="41"/>
      <c r="Z335" s="41"/>
      <c r="AA335" s="41"/>
      <c r="AB335" s="41"/>
      <c r="AC335" s="41"/>
    </row>
    <row r="336" ht="15.75" customHeight="1">
      <c r="A336" s="82" t="s">
        <v>122</v>
      </c>
      <c r="B336" s="82" t="s">
        <v>1947</v>
      </c>
      <c r="C336" s="82" t="s">
        <v>46</v>
      </c>
      <c r="D336" s="82" t="s">
        <v>1718</v>
      </c>
      <c r="E336" s="82" t="s">
        <v>1719</v>
      </c>
      <c r="F336" s="82" t="s">
        <v>1720</v>
      </c>
      <c r="G336" s="82" t="s">
        <v>1721</v>
      </c>
      <c r="H336" s="82" t="s">
        <v>1722</v>
      </c>
      <c r="I336" s="41"/>
      <c r="J336" s="82" t="s">
        <v>1723</v>
      </c>
      <c r="K336" s="82" t="s">
        <v>1724</v>
      </c>
      <c r="L336" s="82" t="s">
        <v>1738</v>
      </c>
      <c r="M336" s="83" t="s">
        <v>1948</v>
      </c>
      <c r="N336" s="74" t="b">
        <v>0</v>
      </c>
      <c r="O336" s="74" t="b">
        <v>0</v>
      </c>
      <c r="P336" s="74" t="b">
        <v>0</v>
      </c>
      <c r="Q336" s="82" t="s">
        <v>319</v>
      </c>
      <c r="R336" s="83" t="s">
        <v>1727</v>
      </c>
      <c r="S336" s="82" t="s">
        <v>1728</v>
      </c>
      <c r="T336" s="41"/>
      <c r="U336" s="41"/>
      <c r="V336" s="41"/>
      <c r="W336" s="41"/>
      <c r="X336" s="41"/>
      <c r="Y336" s="41"/>
      <c r="Z336" s="41"/>
      <c r="AA336" s="41"/>
      <c r="AB336" s="41"/>
      <c r="AC336" s="41"/>
    </row>
    <row r="337" ht="15.75" customHeight="1">
      <c r="A337" s="82" t="s">
        <v>122</v>
      </c>
      <c r="B337" s="82" t="s">
        <v>1949</v>
      </c>
      <c r="C337" s="82" t="s">
        <v>46</v>
      </c>
      <c r="D337" s="82" t="s">
        <v>1718</v>
      </c>
      <c r="E337" s="82" t="s">
        <v>1719</v>
      </c>
      <c r="F337" s="82" t="s">
        <v>1730</v>
      </c>
      <c r="G337" s="82" t="s">
        <v>1721</v>
      </c>
      <c r="H337" s="82" t="s">
        <v>1722</v>
      </c>
      <c r="I337" s="41"/>
      <c r="J337" s="82" t="s">
        <v>1723</v>
      </c>
      <c r="K337" s="82" t="s">
        <v>1724</v>
      </c>
      <c r="L337" s="82" t="s">
        <v>1731</v>
      </c>
      <c r="M337" s="83" t="s">
        <v>1950</v>
      </c>
      <c r="N337" s="74" t="b">
        <v>0</v>
      </c>
      <c r="O337" s="74" t="b">
        <v>0</v>
      </c>
      <c r="P337" s="74" t="b">
        <v>0</v>
      </c>
      <c r="Q337" s="82" t="s">
        <v>319</v>
      </c>
      <c r="R337" s="83" t="s">
        <v>1727</v>
      </c>
      <c r="S337" s="82" t="s">
        <v>1728</v>
      </c>
      <c r="T337" s="41"/>
      <c r="U337" s="41"/>
      <c r="V337" s="41"/>
      <c r="W337" s="41"/>
      <c r="X337" s="41"/>
      <c r="Y337" s="41"/>
      <c r="Z337" s="41"/>
      <c r="AA337" s="41"/>
      <c r="AB337" s="41"/>
      <c r="AC337" s="41"/>
    </row>
    <row r="338" ht="15.75" customHeight="1">
      <c r="A338" s="82" t="s">
        <v>122</v>
      </c>
      <c r="B338" s="82" t="s">
        <v>1951</v>
      </c>
      <c r="C338" s="82" t="s">
        <v>46</v>
      </c>
      <c r="D338" s="82" t="s">
        <v>1718</v>
      </c>
      <c r="E338" s="82" t="s">
        <v>1719</v>
      </c>
      <c r="F338" s="82" t="s">
        <v>1720</v>
      </c>
      <c r="G338" s="82" t="s">
        <v>1721</v>
      </c>
      <c r="H338" s="82" t="s">
        <v>1722</v>
      </c>
      <c r="I338" s="41"/>
      <c r="J338" s="82" t="s">
        <v>1723</v>
      </c>
      <c r="K338" s="82" t="s">
        <v>1724</v>
      </c>
      <c r="L338" s="82" t="s">
        <v>1738</v>
      </c>
      <c r="M338" s="83" t="s">
        <v>1952</v>
      </c>
      <c r="N338" s="74" t="b">
        <v>0</v>
      </c>
      <c r="O338" s="74" t="b">
        <v>0</v>
      </c>
      <c r="P338" s="74" t="b">
        <v>0</v>
      </c>
      <c r="Q338" s="82" t="s">
        <v>319</v>
      </c>
      <c r="R338" s="83" t="s">
        <v>1727</v>
      </c>
      <c r="S338" s="82" t="s">
        <v>1728</v>
      </c>
      <c r="T338" s="41"/>
      <c r="U338" s="41"/>
      <c r="V338" s="41"/>
      <c r="W338" s="41"/>
      <c r="X338" s="41"/>
      <c r="Y338" s="41"/>
      <c r="Z338" s="41"/>
      <c r="AA338" s="41"/>
      <c r="AB338" s="41"/>
      <c r="AC338" s="41"/>
    </row>
    <row r="339" ht="15.75" customHeight="1">
      <c r="A339" s="82" t="s">
        <v>122</v>
      </c>
      <c r="B339" s="82" t="s">
        <v>1953</v>
      </c>
      <c r="C339" s="82" t="s">
        <v>46</v>
      </c>
      <c r="D339" s="82" t="s">
        <v>1718</v>
      </c>
      <c r="E339" s="82" t="s">
        <v>1719</v>
      </c>
      <c r="F339" s="82" t="s">
        <v>1720</v>
      </c>
      <c r="G339" s="82" t="s">
        <v>1721</v>
      </c>
      <c r="H339" s="82" t="s">
        <v>1722</v>
      </c>
      <c r="I339" s="41"/>
      <c r="J339" s="82" t="s">
        <v>1723</v>
      </c>
      <c r="K339" s="82" t="s">
        <v>1724</v>
      </c>
      <c r="L339" s="82" t="s">
        <v>1725</v>
      </c>
      <c r="M339" s="83" t="s">
        <v>1954</v>
      </c>
      <c r="N339" s="74" t="b">
        <v>0</v>
      </c>
      <c r="O339" s="74" t="b">
        <v>0</v>
      </c>
      <c r="P339" s="74" t="b">
        <v>0</v>
      </c>
      <c r="Q339" s="82" t="s">
        <v>319</v>
      </c>
      <c r="R339" s="83" t="s">
        <v>1727</v>
      </c>
      <c r="S339" s="82" t="s">
        <v>1728</v>
      </c>
      <c r="T339" s="41"/>
      <c r="U339" s="41"/>
      <c r="V339" s="41"/>
      <c r="W339" s="41"/>
      <c r="X339" s="41"/>
      <c r="Y339" s="41"/>
      <c r="Z339" s="41"/>
      <c r="AA339" s="41"/>
      <c r="AB339" s="41"/>
      <c r="AC339" s="41"/>
    </row>
    <row r="340" ht="15.75" customHeight="1">
      <c r="A340" s="82" t="s">
        <v>122</v>
      </c>
      <c r="B340" s="82" t="s">
        <v>1955</v>
      </c>
      <c r="C340" s="82" t="s">
        <v>46</v>
      </c>
      <c r="D340" s="82" t="s">
        <v>1718</v>
      </c>
      <c r="E340" s="82" t="s">
        <v>1719</v>
      </c>
      <c r="F340" s="82" t="s">
        <v>1730</v>
      </c>
      <c r="G340" s="82" t="s">
        <v>1721</v>
      </c>
      <c r="H340" s="82" t="s">
        <v>1722</v>
      </c>
      <c r="I340" s="41"/>
      <c r="J340" s="82" t="s">
        <v>1723</v>
      </c>
      <c r="K340" s="82" t="s">
        <v>1724</v>
      </c>
      <c r="L340" s="82" t="s">
        <v>1731</v>
      </c>
      <c r="M340" s="83" t="s">
        <v>1956</v>
      </c>
      <c r="N340" s="74" t="b">
        <v>0</v>
      </c>
      <c r="O340" s="74" t="b">
        <v>0</v>
      </c>
      <c r="P340" s="74" t="b">
        <v>0</v>
      </c>
      <c r="Q340" s="82" t="s">
        <v>319</v>
      </c>
      <c r="R340" s="83" t="s">
        <v>1727</v>
      </c>
      <c r="S340" s="82" t="s">
        <v>1728</v>
      </c>
      <c r="T340" s="41"/>
      <c r="U340" s="41"/>
      <c r="V340" s="41"/>
      <c r="W340" s="41"/>
      <c r="X340" s="41"/>
      <c r="Y340" s="41"/>
      <c r="Z340" s="41"/>
      <c r="AA340" s="41"/>
      <c r="AB340" s="41"/>
      <c r="AC340" s="41"/>
    </row>
    <row r="341" ht="15.75" customHeight="1">
      <c r="A341" s="82" t="s">
        <v>122</v>
      </c>
      <c r="B341" s="82" t="s">
        <v>1957</v>
      </c>
      <c r="C341" s="82" t="s">
        <v>46</v>
      </c>
      <c r="D341" s="82" t="s">
        <v>1718</v>
      </c>
      <c r="E341" s="82" t="s">
        <v>1719</v>
      </c>
      <c r="F341" s="82" t="s">
        <v>1720</v>
      </c>
      <c r="G341" s="82" t="s">
        <v>1721</v>
      </c>
      <c r="H341" s="82" t="s">
        <v>1722</v>
      </c>
      <c r="I341" s="41"/>
      <c r="J341" s="82" t="s">
        <v>1723</v>
      </c>
      <c r="K341" s="82" t="s">
        <v>1724</v>
      </c>
      <c r="L341" s="82" t="s">
        <v>1738</v>
      </c>
      <c r="M341" s="83" t="s">
        <v>1958</v>
      </c>
      <c r="N341" s="74" t="b">
        <v>0</v>
      </c>
      <c r="O341" s="74" t="b">
        <v>0</v>
      </c>
      <c r="P341" s="74" t="b">
        <v>0</v>
      </c>
      <c r="Q341" s="82" t="s">
        <v>319</v>
      </c>
      <c r="R341" s="83" t="s">
        <v>1727</v>
      </c>
      <c r="S341" s="82" t="s">
        <v>1728</v>
      </c>
      <c r="T341" s="41"/>
      <c r="U341" s="41"/>
      <c r="V341" s="41"/>
      <c r="W341" s="41"/>
      <c r="X341" s="41"/>
      <c r="Y341" s="41"/>
      <c r="Z341" s="41"/>
      <c r="AA341" s="41"/>
      <c r="AB341" s="41"/>
      <c r="AC341" s="41"/>
    </row>
    <row r="342" ht="15.75" customHeight="1">
      <c r="A342" s="82" t="s">
        <v>122</v>
      </c>
      <c r="B342" s="82" t="s">
        <v>1959</v>
      </c>
      <c r="C342" s="82" t="s">
        <v>46</v>
      </c>
      <c r="D342" s="82" t="s">
        <v>1718</v>
      </c>
      <c r="E342" s="82" t="s">
        <v>1719</v>
      </c>
      <c r="F342" s="82" t="s">
        <v>1754</v>
      </c>
      <c r="G342" s="82" t="s">
        <v>1721</v>
      </c>
      <c r="H342" s="82" t="s">
        <v>1722</v>
      </c>
      <c r="I342" s="41"/>
      <c r="J342" s="82" t="s">
        <v>1723</v>
      </c>
      <c r="K342" s="82" t="s">
        <v>1724</v>
      </c>
      <c r="L342" s="82" t="s">
        <v>1960</v>
      </c>
      <c r="M342" s="83" t="s">
        <v>1961</v>
      </c>
      <c r="N342" s="74" t="b">
        <v>0</v>
      </c>
      <c r="O342" s="74" t="b">
        <v>0</v>
      </c>
      <c r="P342" s="74" t="b">
        <v>0</v>
      </c>
      <c r="Q342" s="82" t="s">
        <v>319</v>
      </c>
      <c r="R342" s="83" t="s">
        <v>1727</v>
      </c>
      <c r="S342" s="82" t="s">
        <v>1728</v>
      </c>
      <c r="T342" s="41"/>
      <c r="U342" s="41"/>
      <c r="V342" s="41"/>
      <c r="W342" s="41"/>
      <c r="X342" s="41"/>
      <c r="Y342" s="41"/>
      <c r="Z342" s="41"/>
      <c r="AA342" s="41"/>
      <c r="AB342" s="41"/>
      <c r="AC342" s="41"/>
    </row>
    <row r="343" ht="15.75" customHeight="1">
      <c r="A343" s="82" t="s">
        <v>122</v>
      </c>
      <c r="B343" s="82" t="s">
        <v>1962</v>
      </c>
      <c r="C343" s="82" t="s">
        <v>46</v>
      </c>
      <c r="D343" s="82" t="s">
        <v>1718</v>
      </c>
      <c r="E343" s="82" t="s">
        <v>1719</v>
      </c>
      <c r="F343" s="82" t="s">
        <v>1720</v>
      </c>
      <c r="G343" s="82" t="s">
        <v>1721</v>
      </c>
      <c r="H343" s="82" t="s">
        <v>1722</v>
      </c>
      <c r="I343" s="41"/>
      <c r="J343" s="82" t="s">
        <v>1723</v>
      </c>
      <c r="K343" s="82" t="s">
        <v>1724</v>
      </c>
      <c r="L343" s="82" t="s">
        <v>1807</v>
      </c>
      <c r="M343" s="83" t="s">
        <v>1963</v>
      </c>
      <c r="N343" s="74" t="b">
        <v>0</v>
      </c>
      <c r="O343" s="74" t="b">
        <v>0</v>
      </c>
      <c r="P343" s="74" t="b">
        <v>0</v>
      </c>
      <c r="Q343" s="82" t="s">
        <v>319</v>
      </c>
      <c r="R343" s="83" t="s">
        <v>1727</v>
      </c>
      <c r="S343" s="82" t="s">
        <v>1728</v>
      </c>
      <c r="T343" s="41"/>
      <c r="U343" s="41"/>
      <c r="V343" s="41"/>
      <c r="W343" s="41"/>
      <c r="X343" s="41"/>
      <c r="Y343" s="41"/>
      <c r="Z343" s="41"/>
      <c r="AA343" s="41"/>
      <c r="AB343" s="41"/>
      <c r="AC343" s="41"/>
    </row>
    <row r="344" ht="15.75" customHeight="1">
      <c r="A344" s="82" t="s">
        <v>122</v>
      </c>
      <c r="B344" s="82" t="s">
        <v>1964</v>
      </c>
      <c r="C344" s="82" t="s">
        <v>46</v>
      </c>
      <c r="D344" s="82" t="s">
        <v>1718</v>
      </c>
      <c r="E344" s="82" t="s">
        <v>1719</v>
      </c>
      <c r="F344" s="82" t="s">
        <v>1720</v>
      </c>
      <c r="G344" s="82" t="s">
        <v>1721</v>
      </c>
      <c r="H344" s="82" t="s">
        <v>1722</v>
      </c>
      <c r="I344" s="41"/>
      <c r="J344" s="82" t="s">
        <v>1723</v>
      </c>
      <c r="K344" s="82" t="s">
        <v>1724</v>
      </c>
      <c r="L344" s="82" t="s">
        <v>1725</v>
      </c>
      <c r="M344" s="83" t="s">
        <v>1965</v>
      </c>
      <c r="N344" s="74" t="b">
        <v>0</v>
      </c>
      <c r="O344" s="74" t="b">
        <v>0</v>
      </c>
      <c r="P344" s="74" t="b">
        <v>0</v>
      </c>
      <c r="Q344" s="82" t="s">
        <v>319</v>
      </c>
      <c r="R344" s="83" t="s">
        <v>1727</v>
      </c>
      <c r="S344" s="82" t="s">
        <v>1728</v>
      </c>
      <c r="T344" s="41"/>
      <c r="U344" s="41"/>
      <c r="V344" s="41"/>
      <c r="W344" s="41"/>
      <c r="X344" s="41"/>
      <c r="Y344" s="41"/>
      <c r="Z344" s="41"/>
      <c r="AA344" s="41"/>
      <c r="AB344" s="41"/>
      <c r="AC344" s="41"/>
    </row>
    <row r="345" ht="15.75" customHeight="1">
      <c r="A345" s="82" t="s">
        <v>122</v>
      </c>
      <c r="B345" s="82" t="s">
        <v>1966</v>
      </c>
      <c r="C345" s="82" t="s">
        <v>46</v>
      </c>
      <c r="D345" s="82" t="s">
        <v>1718</v>
      </c>
      <c r="E345" s="82" t="s">
        <v>1719</v>
      </c>
      <c r="F345" s="82" t="s">
        <v>1754</v>
      </c>
      <c r="G345" s="82" t="s">
        <v>1721</v>
      </c>
      <c r="H345" s="82" t="s">
        <v>1722</v>
      </c>
      <c r="I345" s="41"/>
      <c r="J345" s="82" t="s">
        <v>1723</v>
      </c>
      <c r="K345" s="82" t="s">
        <v>1724</v>
      </c>
      <c r="L345" s="82" t="s">
        <v>1967</v>
      </c>
      <c r="M345" s="83" t="s">
        <v>1968</v>
      </c>
      <c r="N345" s="74" t="b">
        <v>0</v>
      </c>
      <c r="O345" s="74" t="b">
        <v>0</v>
      </c>
      <c r="P345" s="74" t="b">
        <v>0</v>
      </c>
      <c r="Q345" s="82" t="s">
        <v>319</v>
      </c>
      <c r="R345" s="83" t="s">
        <v>1727</v>
      </c>
      <c r="S345" s="82" t="s">
        <v>1728</v>
      </c>
      <c r="T345" s="41"/>
      <c r="U345" s="41"/>
      <c r="V345" s="41"/>
      <c r="W345" s="41"/>
      <c r="X345" s="41"/>
      <c r="Y345" s="41"/>
      <c r="Z345" s="41"/>
      <c r="AA345" s="41"/>
      <c r="AB345" s="41"/>
      <c r="AC345" s="41"/>
    </row>
    <row r="346" ht="15.75" customHeight="1">
      <c r="A346" s="82" t="s">
        <v>122</v>
      </c>
      <c r="B346" s="82" t="s">
        <v>1969</v>
      </c>
      <c r="C346" s="82" t="s">
        <v>46</v>
      </c>
      <c r="D346" s="82" t="s">
        <v>1718</v>
      </c>
      <c r="E346" s="82" t="s">
        <v>1719</v>
      </c>
      <c r="F346" s="82" t="s">
        <v>1746</v>
      </c>
      <c r="G346" s="82" t="s">
        <v>1721</v>
      </c>
      <c r="H346" s="82" t="s">
        <v>1722</v>
      </c>
      <c r="I346" s="41"/>
      <c r="J346" s="82" t="s">
        <v>1723</v>
      </c>
      <c r="K346" s="82" t="s">
        <v>1724</v>
      </c>
      <c r="L346" s="82" t="s">
        <v>1970</v>
      </c>
      <c r="M346" s="83" t="s">
        <v>1971</v>
      </c>
      <c r="N346" s="74" t="b">
        <v>0</v>
      </c>
      <c r="O346" s="74" t="b">
        <v>0</v>
      </c>
      <c r="P346" s="74" t="b">
        <v>0</v>
      </c>
      <c r="Q346" s="82" t="s">
        <v>319</v>
      </c>
      <c r="R346" s="83" t="s">
        <v>1749</v>
      </c>
      <c r="S346" s="82" t="s">
        <v>1728</v>
      </c>
      <c r="T346" s="41"/>
      <c r="U346" s="41"/>
      <c r="V346" s="41"/>
      <c r="W346" s="41"/>
      <c r="X346" s="41"/>
      <c r="Y346" s="41"/>
      <c r="Z346" s="41"/>
      <c r="AA346" s="41"/>
      <c r="AB346" s="41"/>
      <c r="AC346" s="41"/>
    </row>
    <row r="347" ht="15.75" customHeight="1">
      <c r="A347" s="82" t="s">
        <v>122</v>
      </c>
      <c r="B347" s="82" t="s">
        <v>1972</v>
      </c>
      <c r="C347" s="82" t="s">
        <v>46</v>
      </c>
      <c r="D347" s="82" t="s">
        <v>1718</v>
      </c>
      <c r="E347" s="82" t="s">
        <v>1719</v>
      </c>
      <c r="F347" s="82" t="s">
        <v>1730</v>
      </c>
      <c r="G347" s="82" t="s">
        <v>1721</v>
      </c>
      <c r="H347" s="82" t="s">
        <v>1722</v>
      </c>
      <c r="I347" s="41"/>
      <c r="J347" s="82" t="s">
        <v>1723</v>
      </c>
      <c r="K347" s="82" t="s">
        <v>1724</v>
      </c>
      <c r="L347" s="82" t="s">
        <v>1731</v>
      </c>
      <c r="M347" s="83" t="s">
        <v>1973</v>
      </c>
      <c r="N347" s="74" t="b">
        <v>0</v>
      </c>
      <c r="O347" s="74" t="b">
        <v>0</v>
      </c>
      <c r="P347" s="74" t="b">
        <v>0</v>
      </c>
      <c r="Q347" s="82" t="s">
        <v>319</v>
      </c>
      <c r="R347" s="83" t="s">
        <v>1727</v>
      </c>
      <c r="S347" s="82" t="s">
        <v>1728</v>
      </c>
      <c r="T347" s="41"/>
      <c r="U347" s="41"/>
      <c r="V347" s="41"/>
      <c r="W347" s="41"/>
      <c r="X347" s="41"/>
      <c r="Y347" s="41"/>
      <c r="Z347" s="41"/>
      <c r="AA347" s="41"/>
      <c r="AB347" s="41"/>
      <c r="AC347" s="41"/>
    </row>
    <row r="348" ht="15.75" customHeight="1">
      <c r="A348" s="82" t="s">
        <v>122</v>
      </c>
      <c r="B348" s="82" t="s">
        <v>1974</v>
      </c>
      <c r="C348" s="82" t="s">
        <v>46</v>
      </c>
      <c r="D348" s="82" t="s">
        <v>1718</v>
      </c>
      <c r="E348" s="82" t="s">
        <v>1719</v>
      </c>
      <c r="F348" s="82" t="s">
        <v>1730</v>
      </c>
      <c r="G348" s="82" t="s">
        <v>1721</v>
      </c>
      <c r="H348" s="82" t="s">
        <v>1722</v>
      </c>
      <c r="I348" s="41"/>
      <c r="J348" s="82" t="s">
        <v>1723</v>
      </c>
      <c r="K348" s="82" t="s">
        <v>1724</v>
      </c>
      <c r="L348" s="82" t="s">
        <v>1731</v>
      </c>
      <c r="M348" s="83" t="s">
        <v>1975</v>
      </c>
      <c r="N348" s="74" t="b">
        <v>0</v>
      </c>
      <c r="O348" s="74" t="b">
        <v>0</v>
      </c>
      <c r="P348" s="74" t="b">
        <v>0</v>
      </c>
      <c r="Q348" s="82" t="s">
        <v>319</v>
      </c>
      <c r="R348" s="83" t="s">
        <v>1727</v>
      </c>
      <c r="S348" s="82" t="s">
        <v>1728</v>
      </c>
      <c r="T348" s="41"/>
      <c r="U348" s="41"/>
      <c r="V348" s="41"/>
      <c r="W348" s="41"/>
      <c r="X348" s="41"/>
      <c r="Y348" s="41"/>
      <c r="Z348" s="41"/>
      <c r="AA348" s="41"/>
      <c r="AB348" s="41"/>
      <c r="AC348" s="41"/>
    </row>
    <row r="349" ht="15.75" customHeight="1">
      <c r="A349" s="82" t="s">
        <v>122</v>
      </c>
      <c r="B349" s="82" t="s">
        <v>1976</v>
      </c>
      <c r="C349" s="82" t="s">
        <v>46</v>
      </c>
      <c r="D349" s="82" t="s">
        <v>1718</v>
      </c>
      <c r="E349" s="82" t="s">
        <v>1719</v>
      </c>
      <c r="F349" s="82" t="s">
        <v>1754</v>
      </c>
      <c r="G349" s="82" t="s">
        <v>1721</v>
      </c>
      <c r="H349" s="82" t="s">
        <v>1722</v>
      </c>
      <c r="I349" s="41"/>
      <c r="J349" s="82" t="s">
        <v>1723</v>
      </c>
      <c r="K349" s="82" t="s">
        <v>1724</v>
      </c>
      <c r="L349" s="82" t="s">
        <v>1977</v>
      </c>
      <c r="M349" s="83" t="s">
        <v>1978</v>
      </c>
      <c r="N349" s="74" t="b">
        <v>0</v>
      </c>
      <c r="O349" s="74" t="b">
        <v>0</v>
      </c>
      <c r="P349" s="74" t="b">
        <v>0</v>
      </c>
      <c r="Q349" s="82" t="s">
        <v>319</v>
      </c>
      <c r="R349" s="83" t="s">
        <v>1727</v>
      </c>
      <c r="S349" s="82" t="s">
        <v>1728</v>
      </c>
      <c r="T349" s="41"/>
      <c r="U349" s="41"/>
      <c r="V349" s="41"/>
      <c r="W349" s="41"/>
      <c r="X349" s="41"/>
      <c r="Y349" s="41"/>
      <c r="Z349" s="41"/>
      <c r="AA349" s="41"/>
      <c r="AB349" s="41"/>
      <c r="AC349" s="41"/>
    </row>
    <row r="350" ht="15.75" customHeight="1">
      <c r="A350" s="82" t="s">
        <v>122</v>
      </c>
      <c r="B350" s="82" t="s">
        <v>1979</v>
      </c>
      <c r="C350" s="82" t="s">
        <v>46</v>
      </c>
      <c r="D350" s="82" t="s">
        <v>1718</v>
      </c>
      <c r="E350" s="82" t="s">
        <v>1719</v>
      </c>
      <c r="F350" s="82" t="s">
        <v>1720</v>
      </c>
      <c r="G350" s="82" t="s">
        <v>1721</v>
      </c>
      <c r="H350" s="82" t="s">
        <v>1722</v>
      </c>
      <c r="I350" s="41"/>
      <c r="J350" s="82" t="s">
        <v>1723</v>
      </c>
      <c r="K350" s="82" t="s">
        <v>1724</v>
      </c>
      <c r="L350" s="82" t="s">
        <v>1725</v>
      </c>
      <c r="M350" s="83" t="s">
        <v>1980</v>
      </c>
      <c r="N350" s="74" t="b">
        <v>0</v>
      </c>
      <c r="O350" s="74" t="b">
        <v>0</v>
      </c>
      <c r="P350" s="74" t="b">
        <v>0</v>
      </c>
      <c r="Q350" s="82" t="s">
        <v>319</v>
      </c>
      <c r="R350" s="83" t="s">
        <v>1727</v>
      </c>
      <c r="S350" s="82" t="s">
        <v>1728</v>
      </c>
      <c r="T350" s="41"/>
      <c r="U350" s="41"/>
      <c r="V350" s="41"/>
      <c r="W350" s="41"/>
      <c r="X350" s="41"/>
      <c r="Y350" s="41"/>
      <c r="Z350" s="41"/>
      <c r="AA350" s="41"/>
      <c r="AB350" s="41"/>
      <c r="AC350" s="41"/>
    </row>
    <row r="351" ht="15.75" customHeight="1">
      <c r="A351" s="82" t="s">
        <v>122</v>
      </c>
      <c r="B351" s="82" t="s">
        <v>1981</v>
      </c>
      <c r="C351" s="82" t="s">
        <v>46</v>
      </c>
      <c r="D351" s="82" t="s">
        <v>1718</v>
      </c>
      <c r="E351" s="82" t="s">
        <v>1719</v>
      </c>
      <c r="F351" s="82" t="s">
        <v>1720</v>
      </c>
      <c r="G351" s="82" t="s">
        <v>1721</v>
      </c>
      <c r="H351" s="82" t="s">
        <v>1722</v>
      </c>
      <c r="I351" s="41"/>
      <c r="J351" s="82" t="s">
        <v>1723</v>
      </c>
      <c r="K351" s="82" t="s">
        <v>1724</v>
      </c>
      <c r="L351" s="82" t="s">
        <v>1982</v>
      </c>
      <c r="M351" s="83" t="s">
        <v>1983</v>
      </c>
      <c r="N351" s="74" t="b">
        <v>0</v>
      </c>
      <c r="O351" s="74" t="b">
        <v>0</v>
      </c>
      <c r="P351" s="74" t="b">
        <v>0</v>
      </c>
      <c r="Q351" s="82" t="s">
        <v>319</v>
      </c>
      <c r="R351" s="83" t="s">
        <v>1727</v>
      </c>
      <c r="S351" s="82" t="s">
        <v>1728</v>
      </c>
      <c r="T351" s="41"/>
      <c r="U351" s="41"/>
      <c r="V351" s="41"/>
      <c r="W351" s="41"/>
      <c r="X351" s="41"/>
      <c r="Y351" s="41"/>
      <c r="Z351" s="41"/>
      <c r="AA351" s="41"/>
      <c r="AB351" s="41"/>
      <c r="AC351" s="41"/>
    </row>
    <row r="352" ht="15.75" customHeight="1">
      <c r="A352" s="82" t="s">
        <v>122</v>
      </c>
      <c r="B352" s="82" t="s">
        <v>1984</v>
      </c>
      <c r="C352" s="82" t="s">
        <v>46</v>
      </c>
      <c r="D352" s="82" t="s">
        <v>1718</v>
      </c>
      <c r="E352" s="82" t="s">
        <v>1719</v>
      </c>
      <c r="F352" s="82" t="s">
        <v>1720</v>
      </c>
      <c r="G352" s="82" t="s">
        <v>1721</v>
      </c>
      <c r="H352" s="82" t="s">
        <v>1722</v>
      </c>
      <c r="I352" s="41"/>
      <c r="J352" s="82" t="s">
        <v>1723</v>
      </c>
      <c r="K352" s="82" t="s">
        <v>1724</v>
      </c>
      <c r="L352" s="82" t="s">
        <v>1867</v>
      </c>
      <c r="M352" s="83" t="s">
        <v>1985</v>
      </c>
      <c r="N352" s="74" t="b">
        <v>0</v>
      </c>
      <c r="O352" s="74" t="b">
        <v>0</v>
      </c>
      <c r="P352" s="74" t="b">
        <v>0</v>
      </c>
      <c r="Q352" s="82" t="s">
        <v>319</v>
      </c>
      <c r="R352" s="83" t="s">
        <v>1727</v>
      </c>
      <c r="S352" s="82" t="s">
        <v>1728</v>
      </c>
      <c r="T352" s="41"/>
      <c r="U352" s="41"/>
      <c r="V352" s="41"/>
      <c r="W352" s="41"/>
      <c r="X352" s="41"/>
      <c r="Y352" s="41"/>
      <c r="Z352" s="41"/>
      <c r="AA352" s="41"/>
      <c r="AB352" s="41"/>
      <c r="AC352" s="41"/>
    </row>
    <row r="353" ht="15.75" customHeight="1">
      <c r="A353" s="82" t="s">
        <v>122</v>
      </c>
      <c r="B353" s="82" t="s">
        <v>1986</v>
      </c>
      <c r="C353" s="82" t="s">
        <v>46</v>
      </c>
      <c r="D353" s="82" t="s">
        <v>1718</v>
      </c>
      <c r="E353" s="82" t="s">
        <v>1719</v>
      </c>
      <c r="F353" s="82" t="s">
        <v>1720</v>
      </c>
      <c r="G353" s="82" t="s">
        <v>1721</v>
      </c>
      <c r="H353" s="82" t="s">
        <v>1722</v>
      </c>
      <c r="I353" s="41"/>
      <c r="J353" s="82" t="s">
        <v>1723</v>
      </c>
      <c r="K353" s="82" t="s">
        <v>1724</v>
      </c>
      <c r="L353" s="82" t="s">
        <v>1867</v>
      </c>
      <c r="M353" s="83" t="s">
        <v>1987</v>
      </c>
      <c r="N353" s="74" t="b">
        <v>0</v>
      </c>
      <c r="O353" s="74" t="b">
        <v>0</v>
      </c>
      <c r="P353" s="74" t="b">
        <v>0</v>
      </c>
      <c r="Q353" s="82" t="s">
        <v>319</v>
      </c>
      <c r="R353" s="83" t="s">
        <v>1727</v>
      </c>
      <c r="S353" s="82" t="s">
        <v>1728</v>
      </c>
      <c r="T353" s="41"/>
      <c r="U353" s="41"/>
      <c r="V353" s="41"/>
      <c r="W353" s="41"/>
      <c r="X353" s="41"/>
      <c r="Y353" s="41"/>
      <c r="Z353" s="41"/>
      <c r="AA353" s="41"/>
      <c r="AB353" s="41"/>
      <c r="AC353" s="41"/>
    </row>
    <row r="354" ht="15.75" customHeight="1">
      <c r="A354" s="82" t="s">
        <v>122</v>
      </c>
      <c r="B354" s="82" t="s">
        <v>1988</v>
      </c>
      <c r="C354" s="82" t="s">
        <v>46</v>
      </c>
      <c r="D354" s="82" t="s">
        <v>1718</v>
      </c>
      <c r="E354" s="82" t="s">
        <v>1719</v>
      </c>
      <c r="F354" s="82" t="s">
        <v>1720</v>
      </c>
      <c r="G354" s="82" t="s">
        <v>1721</v>
      </c>
      <c r="H354" s="82" t="s">
        <v>1722</v>
      </c>
      <c r="I354" s="41"/>
      <c r="J354" s="82" t="s">
        <v>1723</v>
      </c>
      <c r="K354" s="82" t="s">
        <v>1724</v>
      </c>
      <c r="L354" s="82" t="s">
        <v>1867</v>
      </c>
      <c r="M354" s="83" t="s">
        <v>1989</v>
      </c>
      <c r="N354" s="74" t="b">
        <v>0</v>
      </c>
      <c r="O354" s="74" t="b">
        <v>0</v>
      </c>
      <c r="P354" s="74" t="b">
        <v>0</v>
      </c>
      <c r="Q354" s="82" t="s">
        <v>319</v>
      </c>
      <c r="R354" s="83" t="s">
        <v>1727</v>
      </c>
      <c r="S354" s="82" t="s">
        <v>1728</v>
      </c>
      <c r="T354" s="41"/>
      <c r="U354" s="41"/>
      <c r="V354" s="41"/>
      <c r="W354" s="41"/>
      <c r="X354" s="41"/>
      <c r="Y354" s="41"/>
      <c r="Z354" s="41"/>
      <c r="AA354" s="41"/>
      <c r="AB354" s="41"/>
      <c r="AC354" s="41"/>
    </row>
    <row r="355" ht="15.75" customHeight="1">
      <c r="A355" s="82" t="s">
        <v>122</v>
      </c>
      <c r="B355" s="82" t="s">
        <v>1990</v>
      </c>
      <c r="C355" s="82" t="s">
        <v>46</v>
      </c>
      <c r="D355" s="82" t="s">
        <v>1718</v>
      </c>
      <c r="E355" s="82" t="s">
        <v>1719</v>
      </c>
      <c r="F355" s="82" t="s">
        <v>1754</v>
      </c>
      <c r="G355" s="82" t="s">
        <v>1721</v>
      </c>
      <c r="H355" s="82" t="s">
        <v>1722</v>
      </c>
      <c r="I355" s="41"/>
      <c r="J355" s="82" t="s">
        <v>1723</v>
      </c>
      <c r="K355" s="82" t="s">
        <v>1724</v>
      </c>
      <c r="L355" s="82" t="s">
        <v>1818</v>
      </c>
      <c r="M355" s="83" t="s">
        <v>1991</v>
      </c>
      <c r="N355" s="74" t="b">
        <v>0</v>
      </c>
      <c r="O355" s="74" t="b">
        <v>0</v>
      </c>
      <c r="P355" s="74" t="b">
        <v>0</v>
      </c>
      <c r="Q355" s="82" t="s">
        <v>319</v>
      </c>
      <c r="R355" s="83" t="s">
        <v>1727</v>
      </c>
      <c r="S355" s="82" t="s">
        <v>1728</v>
      </c>
      <c r="T355" s="41"/>
      <c r="U355" s="41"/>
      <c r="V355" s="41"/>
      <c r="W355" s="41"/>
      <c r="X355" s="41"/>
      <c r="Y355" s="41"/>
      <c r="Z355" s="41"/>
      <c r="AA355" s="41"/>
      <c r="AB355" s="41"/>
      <c r="AC355" s="41"/>
    </row>
    <row r="356" ht="15.75" customHeight="1">
      <c r="A356" s="82" t="s">
        <v>122</v>
      </c>
      <c r="B356" s="82" t="s">
        <v>1992</v>
      </c>
      <c r="C356" s="82" t="s">
        <v>86</v>
      </c>
      <c r="D356" s="82" t="s">
        <v>1718</v>
      </c>
      <c r="E356" s="82" t="s">
        <v>1719</v>
      </c>
      <c r="F356" s="82" t="s">
        <v>1754</v>
      </c>
      <c r="G356" s="82" t="s">
        <v>1721</v>
      </c>
      <c r="H356" s="82" t="s">
        <v>1722</v>
      </c>
      <c r="I356" s="41"/>
      <c r="J356" s="82" t="s">
        <v>1723</v>
      </c>
      <c r="K356" s="82" t="s">
        <v>1724</v>
      </c>
      <c r="L356" s="82" t="s">
        <v>1993</v>
      </c>
      <c r="M356" s="83" t="s">
        <v>1994</v>
      </c>
      <c r="N356" s="74" t="b">
        <v>0</v>
      </c>
      <c r="O356" s="74" t="b">
        <v>0</v>
      </c>
      <c r="P356" s="74" t="b">
        <v>0</v>
      </c>
      <c r="Q356" s="82" t="s">
        <v>319</v>
      </c>
      <c r="R356" s="83" t="s">
        <v>1995</v>
      </c>
      <c r="S356" s="82" t="s">
        <v>1728</v>
      </c>
      <c r="T356" s="41"/>
      <c r="U356" s="41"/>
      <c r="V356" s="41"/>
      <c r="W356" s="41"/>
      <c r="X356" s="41"/>
      <c r="Y356" s="41"/>
      <c r="Z356" s="41"/>
      <c r="AA356" s="41"/>
      <c r="AB356" s="41"/>
      <c r="AC356" s="41"/>
    </row>
    <row r="357" ht="15.75" customHeight="1">
      <c r="A357" s="82" t="s">
        <v>122</v>
      </c>
      <c r="B357" s="82" t="s">
        <v>1996</v>
      </c>
      <c r="C357" s="82" t="s">
        <v>86</v>
      </c>
      <c r="D357" s="82" t="s">
        <v>1718</v>
      </c>
      <c r="E357" s="82" t="s">
        <v>1719</v>
      </c>
      <c r="F357" s="82" t="s">
        <v>1754</v>
      </c>
      <c r="G357" s="82" t="s">
        <v>1721</v>
      </c>
      <c r="H357" s="82" t="s">
        <v>1722</v>
      </c>
      <c r="I357" s="41"/>
      <c r="J357" s="82" t="s">
        <v>1723</v>
      </c>
      <c r="K357" s="82" t="s">
        <v>1724</v>
      </c>
      <c r="L357" s="82" t="s">
        <v>1997</v>
      </c>
      <c r="M357" s="83" t="s">
        <v>1998</v>
      </c>
      <c r="N357" s="74" t="b">
        <v>0</v>
      </c>
      <c r="O357" s="74" t="b">
        <v>0</v>
      </c>
      <c r="P357" s="74" t="b">
        <v>0</v>
      </c>
      <c r="Q357" s="82" t="s">
        <v>319</v>
      </c>
      <c r="R357" s="83" t="s">
        <v>1995</v>
      </c>
      <c r="S357" s="82" t="s">
        <v>1728</v>
      </c>
      <c r="T357" s="41"/>
      <c r="U357" s="41"/>
      <c r="V357" s="41"/>
      <c r="W357" s="41"/>
      <c r="X357" s="41"/>
      <c r="Y357" s="41"/>
      <c r="Z357" s="41"/>
      <c r="AA357" s="41"/>
      <c r="AB357" s="41"/>
      <c r="AC357" s="41"/>
    </row>
    <row r="358" ht="15.75" customHeight="1">
      <c r="A358" s="82" t="s">
        <v>122</v>
      </c>
      <c r="B358" s="82" t="s">
        <v>1999</v>
      </c>
      <c r="C358" s="82" t="s">
        <v>86</v>
      </c>
      <c r="D358" s="82" t="s">
        <v>1718</v>
      </c>
      <c r="E358" s="82" t="s">
        <v>1719</v>
      </c>
      <c r="F358" s="82" t="s">
        <v>1754</v>
      </c>
      <c r="G358" s="82" t="s">
        <v>1721</v>
      </c>
      <c r="H358" s="82" t="s">
        <v>1722</v>
      </c>
      <c r="I358" s="41"/>
      <c r="J358" s="82" t="s">
        <v>1723</v>
      </c>
      <c r="K358" s="82" t="s">
        <v>1724</v>
      </c>
      <c r="L358" s="82" t="s">
        <v>2000</v>
      </c>
      <c r="M358" s="83" t="s">
        <v>2001</v>
      </c>
      <c r="N358" s="74" t="b">
        <v>0</v>
      </c>
      <c r="O358" s="74" t="b">
        <v>0</v>
      </c>
      <c r="P358" s="74" t="b">
        <v>0</v>
      </c>
      <c r="Q358" s="82" t="s">
        <v>319</v>
      </c>
      <c r="R358" s="83" t="s">
        <v>1995</v>
      </c>
      <c r="S358" s="82" t="s">
        <v>1728</v>
      </c>
      <c r="T358" s="41"/>
      <c r="U358" s="41"/>
      <c r="V358" s="41"/>
      <c r="W358" s="41"/>
      <c r="X358" s="41"/>
      <c r="Y358" s="41"/>
      <c r="Z358" s="41"/>
      <c r="AA358" s="41"/>
      <c r="AB358" s="41"/>
      <c r="AC358" s="41"/>
    </row>
    <row r="359" ht="15.75" customHeight="1">
      <c r="A359" s="82" t="s">
        <v>122</v>
      </c>
      <c r="B359" s="82" t="s">
        <v>2002</v>
      </c>
      <c r="C359" s="82" t="s">
        <v>86</v>
      </c>
      <c r="D359" s="82" t="s">
        <v>1718</v>
      </c>
      <c r="E359" s="82" t="s">
        <v>1719</v>
      </c>
      <c r="F359" s="82" t="s">
        <v>1754</v>
      </c>
      <c r="G359" s="82" t="s">
        <v>1721</v>
      </c>
      <c r="H359" s="82" t="s">
        <v>1722</v>
      </c>
      <c r="I359" s="41"/>
      <c r="J359" s="82" t="s">
        <v>1723</v>
      </c>
      <c r="K359" s="82" t="s">
        <v>1724</v>
      </c>
      <c r="L359" s="82" t="s">
        <v>2003</v>
      </c>
      <c r="M359" s="83" t="s">
        <v>2004</v>
      </c>
      <c r="N359" s="74" t="b">
        <v>0</v>
      </c>
      <c r="O359" s="74" t="b">
        <v>0</v>
      </c>
      <c r="P359" s="74" t="b">
        <v>0</v>
      </c>
      <c r="Q359" s="82" t="s">
        <v>319</v>
      </c>
      <c r="R359" s="83" t="s">
        <v>1995</v>
      </c>
      <c r="S359" s="82" t="s">
        <v>1728</v>
      </c>
      <c r="T359" s="41"/>
      <c r="U359" s="41"/>
      <c r="V359" s="41"/>
      <c r="W359" s="41"/>
      <c r="X359" s="41"/>
      <c r="Y359" s="41"/>
      <c r="Z359" s="41"/>
      <c r="AA359" s="41"/>
      <c r="AB359" s="41"/>
      <c r="AC359" s="41"/>
    </row>
    <row r="360" ht="15.75" customHeight="1">
      <c r="A360" s="82" t="s">
        <v>122</v>
      </c>
      <c r="B360" s="82" t="s">
        <v>2005</v>
      </c>
      <c r="C360" s="82" t="s">
        <v>86</v>
      </c>
      <c r="D360" s="82" t="s">
        <v>1718</v>
      </c>
      <c r="E360" s="82" t="s">
        <v>1719</v>
      </c>
      <c r="F360" s="82" t="s">
        <v>1730</v>
      </c>
      <c r="G360" s="82" t="s">
        <v>1721</v>
      </c>
      <c r="H360" s="82" t="s">
        <v>1722</v>
      </c>
      <c r="I360" s="41"/>
      <c r="J360" s="82" t="s">
        <v>1723</v>
      </c>
      <c r="K360" s="82" t="s">
        <v>1724</v>
      </c>
      <c r="L360" s="82" t="s">
        <v>2006</v>
      </c>
      <c r="M360" s="83" t="s">
        <v>2007</v>
      </c>
      <c r="N360" s="74" t="b">
        <v>0</v>
      </c>
      <c r="O360" s="74" t="b">
        <v>0</v>
      </c>
      <c r="P360" s="74" t="b">
        <v>0</v>
      </c>
      <c r="Q360" s="82" t="s">
        <v>319</v>
      </c>
      <c r="R360" s="83" t="s">
        <v>1995</v>
      </c>
      <c r="S360" s="82" t="s">
        <v>1728</v>
      </c>
      <c r="T360" s="41"/>
      <c r="U360" s="41"/>
      <c r="V360" s="41"/>
      <c r="W360" s="41"/>
      <c r="X360" s="41"/>
      <c r="Y360" s="41"/>
      <c r="Z360" s="41"/>
      <c r="AA360" s="41"/>
      <c r="AB360" s="41"/>
      <c r="AC360" s="41"/>
    </row>
    <row r="361" ht="15.75" customHeight="1">
      <c r="A361" s="82" t="s">
        <v>122</v>
      </c>
      <c r="B361" s="82" t="s">
        <v>2008</v>
      </c>
      <c r="C361" s="82" t="s">
        <v>86</v>
      </c>
      <c r="D361" s="82" t="s">
        <v>2009</v>
      </c>
      <c r="E361" s="82" t="s">
        <v>1719</v>
      </c>
      <c r="F361" s="82" t="s">
        <v>1754</v>
      </c>
      <c r="G361" s="82" t="s">
        <v>1721</v>
      </c>
      <c r="H361" s="82" t="s">
        <v>2010</v>
      </c>
      <c r="I361" s="41"/>
      <c r="J361" s="82" t="s">
        <v>1723</v>
      </c>
      <c r="K361" s="82" t="s">
        <v>1724</v>
      </c>
      <c r="L361" s="82" t="s">
        <v>2011</v>
      </c>
      <c r="M361" s="83" t="s">
        <v>2012</v>
      </c>
      <c r="N361" s="74" t="b">
        <v>0</v>
      </c>
      <c r="O361" s="74" t="b">
        <v>0</v>
      </c>
      <c r="P361" s="74" t="b">
        <v>0</v>
      </c>
      <c r="Q361" s="82" t="s">
        <v>319</v>
      </c>
      <c r="R361" s="83" t="s">
        <v>1995</v>
      </c>
      <c r="S361" s="82" t="s">
        <v>2013</v>
      </c>
      <c r="T361" s="41"/>
      <c r="U361" s="41"/>
      <c r="V361" s="41"/>
      <c r="W361" s="41"/>
      <c r="X361" s="41"/>
      <c r="Y361" s="41"/>
      <c r="Z361" s="41"/>
      <c r="AA361" s="41"/>
      <c r="AB361" s="41"/>
      <c r="AC361" s="41"/>
    </row>
    <row r="362" ht="15.75" customHeight="1">
      <c r="A362" s="82" t="s">
        <v>122</v>
      </c>
      <c r="B362" s="82" t="s">
        <v>2014</v>
      </c>
      <c r="C362" s="82" t="s">
        <v>86</v>
      </c>
      <c r="D362" s="82" t="s">
        <v>1718</v>
      </c>
      <c r="E362" s="82" t="s">
        <v>1719</v>
      </c>
      <c r="F362" s="82" t="s">
        <v>1754</v>
      </c>
      <c r="G362" s="82" t="s">
        <v>1721</v>
      </c>
      <c r="H362" s="82" t="s">
        <v>1722</v>
      </c>
      <c r="I362" s="41"/>
      <c r="J362" s="82" t="s">
        <v>1723</v>
      </c>
      <c r="K362" s="82" t="s">
        <v>1724</v>
      </c>
      <c r="L362" s="82" t="s">
        <v>2000</v>
      </c>
      <c r="M362" s="83" t="s">
        <v>2015</v>
      </c>
      <c r="N362" s="74" t="b">
        <v>0</v>
      </c>
      <c r="O362" s="74" t="b">
        <v>0</v>
      </c>
      <c r="P362" s="74" t="b">
        <v>0</v>
      </c>
      <c r="Q362" s="82" t="s">
        <v>319</v>
      </c>
      <c r="R362" s="83" t="s">
        <v>1995</v>
      </c>
      <c r="S362" s="82" t="s">
        <v>1728</v>
      </c>
      <c r="T362" s="41"/>
      <c r="U362" s="41"/>
      <c r="V362" s="41"/>
      <c r="W362" s="41"/>
      <c r="X362" s="41"/>
      <c r="Y362" s="41"/>
      <c r="Z362" s="41"/>
      <c r="AA362" s="41"/>
      <c r="AB362" s="41"/>
      <c r="AC362" s="41"/>
    </row>
    <row r="363" ht="15.75" customHeight="1">
      <c r="A363" s="82" t="s">
        <v>122</v>
      </c>
      <c r="B363" s="82" t="s">
        <v>2016</v>
      </c>
      <c r="C363" s="82" t="s">
        <v>86</v>
      </c>
      <c r="D363" s="82" t="s">
        <v>2017</v>
      </c>
      <c r="E363" s="82" t="s">
        <v>1719</v>
      </c>
      <c r="F363" s="82" t="s">
        <v>1754</v>
      </c>
      <c r="G363" s="82" t="s">
        <v>1721</v>
      </c>
      <c r="H363" s="82" t="s">
        <v>2010</v>
      </c>
      <c r="I363" s="41"/>
      <c r="J363" s="82" t="s">
        <v>1723</v>
      </c>
      <c r="K363" s="82" t="s">
        <v>1724</v>
      </c>
      <c r="L363" s="82" t="s">
        <v>2018</v>
      </c>
      <c r="M363" s="83" t="s">
        <v>2019</v>
      </c>
      <c r="N363" s="74" t="b">
        <v>0</v>
      </c>
      <c r="O363" s="74" t="b">
        <v>0</v>
      </c>
      <c r="P363" s="74" t="b">
        <v>0</v>
      </c>
      <c r="Q363" s="82" t="s">
        <v>319</v>
      </c>
      <c r="R363" s="83" t="s">
        <v>1995</v>
      </c>
      <c r="S363" s="82" t="s">
        <v>2013</v>
      </c>
      <c r="T363" s="41"/>
      <c r="U363" s="41"/>
      <c r="V363" s="41"/>
      <c r="W363" s="41"/>
      <c r="X363" s="41"/>
      <c r="Y363" s="41"/>
      <c r="Z363" s="41"/>
      <c r="AA363" s="41"/>
      <c r="AB363" s="41"/>
      <c r="AC363" s="41"/>
    </row>
    <row r="364" ht="15.75" customHeight="1">
      <c r="A364" s="82" t="s">
        <v>122</v>
      </c>
      <c r="B364" s="82" t="s">
        <v>2020</v>
      </c>
      <c r="C364" s="82" t="s">
        <v>86</v>
      </c>
      <c r="D364" s="82" t="s">
        <v>1718</v>
      </c>
      <c r="E364" s="82" t="s">
        <v>1719</v>
      </c>
      <c r="F364" s="82" t="s">
        <v>1754</v>
      </c>
      <c r="G364" s="82" t="s">
        <v>1721</v>
      </c>
      <c r="H364" s="82" t="s">
        <v>1722</v>
      </c>
      <c r="I364" s="41"/>
      <c r="J364" s="82" t="s">
        <v>1723</v>
      </c>
      <c r="K364" s="82" t="s">
        <v>1724</v>
      </c>
      <c r="L364" s="82" t="s">
        <v>2021</v>
      </c>
      <c r="M364" s="83" t="s">
        <v>2022</v>
      </c>
      <c r="N364" s="74" t="b">
        <v>0</v>
      </c>
      <c r="O364" s="74" t="b">
        <v>0</v>
      </c>
      <c r="P364" s="74" t="b">
        <v>0</v>
      </c>
      <c r="Q364" s="82" t="s">
        <v>319</v>
      </c>
      <c r="R364" s="83" t="s">
        <v>1995</v>
      </c>
      <c r="S364" s="82" t="s">
        <v>1728</v>
      </c>
      <c r="T364" s="41"/>
      <c r="U364" s="41"/>
      <c r="V364" s="41"/>
      <c r="W364" s="41"/>
      <c r="X364" s="41"/>
      <c r="Y364" s="41"/>
      <c r="Z364" s="41"/>
      <c r="AA364" s="41"/>
      <c r="AB364" s="41"/>
      <c r="AC364" s="41"/>
    </row>
    <row r="365" ht="15.75" customHeight="1">
      <c r="A365" s="82" t="s">
        <v>122</v>
      </c>
      <c r="B365" s="82" t="s">
        <v>2023</v>
      </c>
      <c r="C365" s="82" t="s">
        <v>86</v>
      </c>
      <c r="D365" s="82" t="s">
        <v>2009</v>
      </c>
      <c r="E365" s="82" t="s">
        <v>1719</v>
      </c>
      <c r="F365" s="82" t="s">
        <v>1754</v>
      </c>
      <c r="G365" s="82" t="s">
        <v>1721</v>
      </c>
      <c r="H365" s="82" t="s">
        <v>2010</v>
      </c>
      <c r="I365" s="41"/>
      <c r="J365" s="82" t="s">
        <v>1723</v>
      </c>
      <c r="K365" s="82" t="s">
        <v>1724</v>
      </c>
      <c r="L365" s="82" t="s">
        <v>2011</v>
      </c>
      <c r="M365" s="83" t="s">
        <v>2024</v>
      </c>
      <c r="N365" s="74" t="b">
        <v>0</v>
      </c>
      <c r="O365" s="74" t="b">
        <v>0</v>
      </c>
      <c r="P365" s="74" t="b">
        <v>0</v>
      </c>
      <c r="Q365" s="82" t="s">
        <v>319</v>
      </c>
      <c r="R365" s="83" t="s">
        <v>1995</v>
      </c>
      <c r="S365" s="82" t="s">
        <v>2013</v>
      </c>
      <c r="T365" s="41"/>
      <c r="U365" s="41"/>
      <c r="V365" s="41"/>
      <c r="W365" s="41"/>
      <c r="X365" s="41"/>
      <c r="Y365" s="41"/>
      <c r="Z365" s="41"/>
      <c r="AA365" s="41"/>
      <c r="AB365" s="41"/>
      <c r="AC365" s="41"/>
    </row>
    <row r="366" ht="15.75" customHeight="1">
      <c r="A366" s="82" t="s">
        <v>122</v>
      </c>
      <c r="B366" s="82" t="s">
        <v>2025</v>
      </c>
      <c r="C366" s="82" t="s">
        <v>86</v>
      </c>
      <c r="D366" s="82" t="s">
        <v>1718</v>
      </c>
      <c r="E366" s="82" t="s">
        <v>1719</v>
      </c>
      <c r="F366" s="82" t="s">
        <v>1754</v>
      </c>
      <c r="G366" s="82" t="s">
        <v>1721</v>
      </c>
      <c r="H366" s="82" t="s">
        <v>1722</v>
      </c>
      <c r="I366" s="41"/>
      <c r="J366" s="82" t="s">
        <v>1723</v>
      </c>
      <c r="K366" s="82" t="s">
        <v>1724</v>
      </c>
      <c r="L366" s="82" t="s">
        <v>1993</v>
      </c>
      <c r="M366" s="83" t="s">
        <v>2026</v>
      </c>
      <c r="N366" s="74" t="b">
        <v>0</v>
      </c>
      <c r="O366" s="74" t="b">
        <v>0</v>
      </c>
      <c r="P366" s="74" t="b">
        <v>0</v>
      </c>
      <c r="Q366" s="82" t="s">
        <v>319</v>
      </c>
      <c r="R366" s="83" t="s">
        <v>1995</v>
      </c>
      <c r="S366" s="82" t="s">
        <v>1728</v>
      </c>
      <c r="T366" s="41"/>
      <c r="U366" s="41"/>
      <c r="V366" s="41"/>
      <c r="W366" s="41"/>
      <c r="X366" s="41"/>
      <c r="Y366" s="41"/>
      <c r="Z366" s="41"/>
      <c r="AA366" s="41"/>
      <c r="AB366" s="41"/>
      <c r="AC366" s="41"/>
    </row>
    <row r="367" ht="15.75" customHeight="1">
      <c r="A367" s="82" t="s">
        <v>122</v>
      </c>
      <c r="B367" s="82" t="s">
        <v>2027</v>
      </c>
      <c r="C367" s="82" t="s">
        <v>86</v>
      </c>
      <c r="D367" s="82" t="s">
        <v>1718</v>
      </c>
      <c r="E367" s="82" t="s">
        <v>1719</v>
      </c>
      <c r="F367" s="82" t="s">
        <v>1730</v>
      </c>
      <c r="G367" s="82" t="s">
        <v>1721</v>
      </c>
      <c r="H367" s="82" t="s">
        <v>1722</v>
      </c>
      <c r="I367" s="41"/>
      <c r="J367" s="82" t="s">
        <v>1723</v>
      </c>
      <c r="K367" s="82" t="s">
        <v>1724</v>
      </c>
      <c r="L367" s="82" t="s">
        <v>2006</v>
      </c>
      <c r="M367" s="83" t="s">
        <v>2028</v>
      </c>
      <c r="N367" s="74" t="b">
        <v>0</v>
      </c>
      <c r="O367" s="74" t="b">
        <v>0</v>
      </c>
      <c r="P367" s="74" t="b">
        <v>0</v>
      </c>
      <c r="Q367" s="82" t="s">
        <v>319</v>
      </c>
      <c r="R367" s="83" t="s">
        <v>1995</v>
      </c>
      <c r="S367" s="82" t="s">
        <v>1728</v>
      </c>
      <c r="T367" s="41"/>
      <c r="U367" s="41"/>
      <c r="V367" s="41"/>
      <c r="W367" s="41"/>
      <c r="X367" s="41"/>
      <c r="Y367" s="41"/>
      <c r="Z367" s="41"/>
      <c r="AA367" s="41"/>
      <c r="AB367" s="41"/>
      <c r="AC367" s="41"/>
    </row>
    <row r="368" ht="15.75" customHeight="1">
      <c r="A368" s="82" t="s">
        <v>122</v>
      </c>
      <c r="B368" s="82" t="s">
        <v>2029</v>
      </c>
      <c r="C368" s="82" t="s">
        <v>86</v>
      </c>
      <c r="D368" s="82" t="s">
        <v>1718</v>
      </c>
      <c r="E368" s="82" t="s">
        <v>1719</v>
      </c>
      <c r="F368" s="82" t="s">
        <v>1754</v>
      </c>
      <c r="G368" s="82" t="s">
        <v>1721</v>
      </c>
      <c r="H368" s="82" t="s">
        <v>1722</v>
      </c>
      <c r="I368" s="41"/>
      <c r="J368" s="82" t="s">
        <v>1723</v>
      </c>
      <c r="K368" s="82" t="s">
        <v>1724</v>
      </c>
      <c r="L368" s="82" t="s">
        <v>2030</v>
      </c>
      <c r="M368" s="83" t="s">
        <v>2031</v>
      </c>
      <c r="N368" s="74" t="b">
        <v>0</v>
      </c>
      <c r="O368" s="74" t="b">
        <v>0</v>
      </c>
      <c r="P368" s="74" t="b">
        <v>0</v>
      </c>
      <c r="Q368" s="82" t="s">
        <v>319</v>
      </c>
      <c r="R368" s="83" t="s">
        <v>1995</v>
      </c>
      <c r="S368" s="82" t="s">
        <v>1728</v>
      </c>
      <c r="T368" s="41"/>
      <c r="U368" s="41"/>
      <c r="V368" s="41"/>
      <c r="W368" s="41"/>
      <c r="X368" s="41"/>
      <c r="Y368" s="41"/>
      <c r="Z368" s="41"/>
      <c r="AA368" s="41"/>
      <c r="AB368" s="41"/>
      <c r="AC368" s="41"/>
    </row>
    <row r="369" ht="15.75" customHeight="1">
      <c r="A369" s="82" t="s">
        <v>122</v>
      </c>
      <c r="B369" s="82" t="s">
        <v>2032</v>
      </c>
      <c r="C369" s="82" t="s">
        <v>86</v>
      </c>
      <c r="D369" s="82" t="s">
        <v>56</v>
      </c>
      <c r="E369" s="82" t="s">
        <v>1719</v>
      </c>
      <c r="F369" s="82" t="s">
        <v>1754</v>
      </c>
      <c r="G369" s="82" t="s">
        <v>1721</v>
      </c>
      <c r="H369" s="82" t="s">
        <v>2010</v>
      </c>
      <c r="I369" s="41"/>
      <c r="J369" s="82" t="s">
        <v>1723</v>
      </c>
      <c r="K369" s="82" t="s">
        <v>1724</v>
      </c>
      <c r="L369" s="82" t="s">
        <v>2033</v>
      </c>
      <c r="M369" s="83" t="s">
        <v>2034</v>
      </c>
      <c r="N369" s="74" t="b">
        <v>0</v>
      </c>
      <c r="O369" s="74" t="b">
        <v>0</v>
      </c>
      <c r="P369" s="74" t="b">
        <v>0</v>
      </c>
      <c r="Q369" s="82" t="s">
        <v>319</v>
      </c>
      <c r="R369" s="83" t="s">
        <v>1995</v>
      </c>
      <c r="S369" s="82" t="s">
        <v>2013</v>
      </c>
      <c r="T369" s="41"/>
      <c r="U369" s="41"/>
      <c r="V369" s="41"/>
      <c r="W369" s="41"/>
      <c r="X369" s="41"/>
      <c r="Y369" s="41"/>
      <c r="Z369" s="41"/>
      <c r="AA369" s="41"/>
      <c r="AB369" s="41"/>
      <c r="AC369" s="41"/>
    </row>
    <row r="370" ht="15.75" customHeight="1">
      <c r="A370" s="82" t="s">
        <v>122</v>
      </c>
      <c r="B370" s="82" t="s">
        <v>2035</v>
      </c>
      <c r="C370" s="82" t="s">
        <v>86</v>
      </c>
      <c r="D370" s="82" t="s">
        <v>1718</v>
      </c>
      <c r="E370" s="82" t="s">
        <v>1719</v>
      </c>
      <c r="F370" s="82" t="s">
        <v>1754</v>
      </c>
      <c r="G370" s="82" t="s">
        <v>1721</v>
      </c>
      <c r="H370" s="82" t="s">
        <v>1722</v>
      </c>
      <c r="I370" s="41"/>
      <c r="J370" s="82" t="s">
        <v>1723</v>
      </c>
      <c r="K370" s="82" t="s">
        <v>1724</v>
      </c>
      <c r="L370" s="82" t="s">
        <v>2036</v>
      </c>
      <c r="M370" s="83" t="s">
        <v>2037</v>
      </c>
      <c r="N370" s="74" t="b">
        <v>0</v>
      </c>
      <c r="O370" s="74" t="b">
        <v>0</v>
      </c>
      <c r="P370" s="74" t="b">
        <v>0</v>
      </c>
      <c r="Q370" s="82" t="s">
        <v>319</v>
      </c>
      <c r="R370" s="83" t="s">
        <v>1995</v>
      </c>
      <c r="S370" s="82" t="s">
        <v>1728</v>
      </c>
      <c r="T370" s="41"/>
      <c r="U370" s="41"/>
      <c r="V370" s="41"/>
      <c r="W370" s="41"/>
      <c r="X370" s="41"/>
      <c r="Y370" s="41"/>
      <c r="Z370" s="41"/>
      <c r="AA370" s="41"/>
      <c r="AB370" s="41"/>
      <c r="AC370" s="41"/>
    </row>
    <row r="371" ht="15.75" customHeight="1">
      <c r="A371" s="82" t="s">
        <v>122</v>
      </c>
      <c r="B371" s="82" t="s">
        <v>2038</v>
      </c>
      <c r="C371" s="82" t="s">
        <v>86</v>
      </c>
      <c r="D371" s="82" t="s">
        <v>1718</v>
      </c>
      <c r="E371" s="82" t="s">
        <v>1719</v>
      </c>
      <c r="F371" s="82" t="s">
        <v>1754</v>
      </c>
      <c r="G371" s="82" t="s">
        <v>1721</v>
      </c>
      <c r="H371" s="82" t="s">
        <v>1722</v>
      </c>
      <c r="I371" s="41"/>
      <c r="J371" s="82" t="s">
        <v>1723</v>
      </c>
      <c r="K371" s="82" t="s">
        <v>1724</v>
      </c>
      <c r="L371" s="82" t="s">
        <v>2036</v>
      </c>
      <c r="M371" s="83" t="s">
        <v>2039</v>
      </c>
      <c r="N371" s="74" t="b">
        <v>0</v>
      </c>
      <c r="O371" s="74" t="b">
        <v>0</v>
      </c>
      <c r="P371" s="74" t="b">
        <v>0</v>
      </c>
      <c r="Q371" s="82" t="s">
        <v>319</v>
      </c>
      <c r="R371" s="83" t="s">
        <v>1995</v>
      </c>
      <c r="S371" s="82" t="s">
        <v>1728</v>
      </c>
      <c r="T371" s="41"/>
      <c r="U371" s="41"/>
      <c r="V371" s="41"/>
      <c r="W371" s="41"/>
      <c r="X371" s="41"/>
      <c r="Y371" s="41"/>
      <c r="Z371" s="41"/>
      <c r="AA371" s="41"/>
      <c r="AB371" s="41"/>
      <c r="AC371" s="41"/>
    </row>
    <row r="372" ht="15.75" customHeight="1">
      <c r="A372" s="82" t="s">
        <v>122</v>
      </c>
      <c r="B372" s="82" t="s">
        <v>2040</v>
      </c>
      <c r="C372" s="82" t="s">
        <v>86</v>
      </c>
      <c r="D372" s="82" t="s">
        <v>1718</v>
      </c>
      <c r="E372" s="82" t="s">
        <v>1719</v>
      </c>
      <c r="F372" s="82" t="s">
        <v>1754</v>
      </c>
      <c r="G372" s="82" t="s">
        <v>1721</v>
      </c>
      <c r="H372" s="82" t="s">
        <v>1722</v>
      </c>
      <c r="I372" s="41"/>
      <c r="J372" s="82" t="s">
        <v>1723</v>
      </c>
      <c r="K372" s="82" t="s">
        <v>1724</v>
      </c>
      <c r="L372" s="82" t="s">
        <v>2000</v>
      </c>
      <c r="M372" s="83" t="s">
        <v>2041</v>
      </c>
      <c r="N372" s="74" t="b">
        <v>0</v>
      </c>
      <c r="O372" s="74" t="b">
        <v>0</v>
      </c>
      <c r="P372" s="74" t="b">
        <v>0</v>
      </c>
      <c r="Q372" s="82" t="s">
        <v>319</v>
      </c>
      <c r="R372" s="83" t="s">
        <v>1995</v>
      </c>
      <c r="S372" s="82" t="s">
        <v>1728</v>
      </c>
      <c r="T372" s="41"/>
      <c r="U372" s="41"/>
      <c r="V372" s="41"/>
      <c r="W372" s="41"/>
      <c r="X372" s="41"/>
      <c r="Y372" s="41"/>
      <c r="Z372" s="41"/>
      <c r="AA372" s="41"/>
      <c r="AB372" s="41"/>
      <c r="AC372" s="41"/>
    </row>
    <row r="373" ht="15.75" customHeight="1">
      <c r="A373" s="82" t="s">
        <v>122</v>
      </c>
      <c r="B373" s="82" t="s">
        <v>2042</v>
      </c>
      <c r="C373" s="82" t="s">
        <v>142</v>
      </c>
      <c r="D373" s="82" t="s">
        <v>1718</v>
      </c>
      <c r="E373" s="82" t="s">
        <v>1719</v>
      </c>
      <c r="F373" s="82" t="s">
        <v>1720</v>
      </c>
      <c r="G373" s="82" t="s">
        <v>1721</v>
      </c>
      <c r="H373" s="82" t="s">
        <v>1722</v>
      </c>
      <c r="I373" s="41"/>
      <c r="J373" s="82" t="s">
        <v>1723</v>
      </c>
      <c r="K373" s="82" t="s">
        <v>1724</v>
      </c>
      <c r="L373" s="82" t="s">
        <v>2043</v>
      </c>
      <c r="M373" s="83" t="s">
        <v>2044</v>
      </c>
      <c r="N373" s="74" t="b">
        <v>0</v>
      </c>
      <c r="O373" s="74" t="b">
        <v>0</v>
      </c>
      <c r="P373" s="74" t="b">
        <v>0</v>
      </c>
      <c r="Q373" s="82" t="s">
        <v>319</v>
      </c>
      <c r="R373" s="83" t="s">
        <v>2045</v>
      </c>
      <c r="S373" s="82" t="s">
        <v>1728</v>
      </c>
      <c r="T373" s="41"/>
      <c r="U373" s="41"/>
      <c r="V373" s="41"/>
      <c r="W373" s="41"/>
      <c r="X373" s="41"/>
      <c r="Y373" s="41"/>
      <c r="Z373" s="41"/>
      <c r="AA373" s="41"/>
      <c r="AB373" s="41"/>
      <c r="AC373" s="41"/>
    </row>
    <row r="374" ht="15.75" customHeight="1">
      <c r="A374" s="82" t="s">
        <v>122</v>
      </c>
      <c r="B374" s="82" t="s">
        <v>2046</v>
      </c>
      <c r="C374" s="82" t="s">
        <v>142</v>
      </c>
      <c r="D374" s="82" t="s">
        <v>1718</v>
      </c>
      <c r="E374" s="82" t="s">
        <v>1719</v>
      </c>
      <c r="F374" s="82" t="s">
        <v>1720</v>
      </c>
      <c r="G374" s="82" t="s">
        <v>1721</v>
      </c>
      <c r="H374" s="82" t="s">
        <v>1722</v>
      </c>
      <c r="I374" s="41"/>
      <c r="J374" s="82" t="s">
        <v>1723</v>
      </c>
      <c r="K374" s="82" t="s">
        <v>1724</v>
      </c>
      <c r="L374" s="82" t="s">
        <v>2047</v>
      </c>
      <c r="M374" s="83" t="s">
        <v>2048</v>
      </c>
      <c r="N374" s="74" t="b">
        <v>0</v>
      </c>
      <c r="O374" s="74" t="b">
        <v>0</v>
      </c>
      <c r="P374" s="74" t="b">
        <v>0</v>
      </c>
      <c r="Q374" s="82" t="s">
        <v>319</v>
      </c>
      <c r="R374" s="83" t="s">
        <v>2045</v>
      </c>
      <c r="S374" s="82" t="s">
        <v>1728</v>
      </c>
      <c r="T374" s="41"/>
      <c r="U374" s="41"/>
      <c r="V374" s="41"/>
      <c r="W374" s="41"/>
      <c r="X374" s="41"/>
      <c r="Y374" s="41"/>
      <c r="Z374" s="41"/>
      <c r="AA374" s="41"/>
      <c r="AB374" s="41"/>
      <c r="AC374" s="41"/>
    </row>
    <row r="375" ht="15.75" customHeight="1">
      <c r="A375" s="82" t="s">
        <v>122</v>
      </c>
      <c r="B375" s="82" t="s">
        <v>2049</v>
      </c>
      <c r="C375" s="82" t="s">
        <v>142</v>
      </c>
      <c r="D375" s="82" t="s">
        <v>1718</v>
      </c>
      <c r="E375" s="82" t="s">
        <v>1719</v>
      </c>
      <c r="F375" s="82" t="s">
        <v>1720</v>
      </c>
      <c r="G375" s="82" t="s">
        <v>1721</v>
      </c>
      <c r="H375" s="82" t="s">
        <v>1722</v>
      </c>
      <c r="I375" s="41"/>
      <c r="J375" s="82" t="s">
        <v>1723</v>
      </c>
      <c r="K375" s="82" t="s">
        <v>1724</v>
      </c>
      <c r="L375" s="82" t="s">
        <v>2043</v>
      </c>
      <c r="M375" s="83" t="s">
        <v>2050</v>
      </c>
      <c r="N375" s="74" t="b">
        <v>0</v>
      </c>
      <c r="O375" s="74" t="b">
        <v>0</v>
      </c>
      <c r="P375" s="74" t="b">
        <v>0</v>
      </c>
      <c r="Q375" s="82" t="s">
        <v>319</v>
      </c>
      <c r="R375" s="83" t="s">
        <v>2045</v>
      </c>
      <c r="S375" s="82" t="s">
        <v>1728</v>
      </c>
      <c r="T375" s="41"/>
      <c r="U375" s="41"/>
      <c r="V375" s="41"/>
      <c r="W375" s="41"/>
      <c r="X375" s="41"/>
      <c r="Y375" s="41"/>
      <c r="Z375" s="41"/>
      <c r="AA375" s="41"/>
      <c r="AB375" s="41"/>
      <c r="AC375" s="41"/>
    </row>
    <row r="376" ht="15.75" customHeight="1">
      <c r="A376" s="82" t="s">
        <v>122</v>
      </c>
      <c r="B376" s="82" t="s">
        <v>2051</v>
      </c>
      <c r="C376" s="82" t="s">
        <v>142</v>
      </c>
      <c r="D376" s="82" t="s">
        <v>1718</v>
      </c>
      <c r="E376" s="82" t="s">
        <v>1719</v>
      </c>
      <c r="F376" s="82" t="s">
        <v>1720</v>
      </c>
      <c r="G376" s="82" t="s">
        <v>1721</v>
      </c>
      <c r="H376" s="82" t="s">
        <v>1722</v>
      </c>
      <c r="I376" s="41"/>
      <c r="J376" s="82" t="s">
        <v>1723</v>
      </c>
      <c r="K376" s="82" t="s">
        <v>1724</v>
      </c>
      <c r="L376" s="82" t="s">
        <v>2043</v>
      </c>
      <c r="M376" s="83" t="s">
        <v>2052</v>
      </c>
      <c r="N376" s="74" t="b">
        <v>0</v>
      </c>
      <c r="O376" s="74" t="b">
        <v>0</v>
      </c>
      <c r="P376" s="74" t="b">
        <v>0</v>
      </c>
      <c r="Q376" s="82" t="s">
        <v>319</v>
      </c>
      <c r="R376" s="83" t="s">
        <v>2045</v>
      </c>
      <c r="S376" s="82" t="s">
        <v>1728</v>
      </c>
      <c r="T376" s="41"/>
      <c r="U376" s="41"/>
      <c r="V376" s="41"/>
      <c r="W376" s="41"/>
      <c r="X376" s="41"/>
      <c r="Y376" s="41"/>
      <c r="Z376" s="41"/>
      <c r="AA376" s="41"/>
      <c r="AB376" s="41"/>
      <c r="AC376" s="41"/>
    </row>
    <row r="377" ht="15.75" customHeight="1">
      <c r="A377" s="82" t="s">
        <v>122</v>
      </c>
      <c r="B377" s="82" t="s">
        <v>2053</v>
      </c>
      <c r="C377" s="82" t="s">
        <v>142</v>
      </c>
      <c r="D377" s="82" t="s">
        <v>1718</v>
      </c>
      <c r="E377" s="82" t="s">
        <v>1719</v>
      </c>
      <c r="F377" s="82" t="s">
        <v>1720</v>
      </c>
      <c r="G377" s="82" t="s">
        <v>1721</v>
      </c>
      <c r="H377" s="82" t="s">
        <v>1722</v>
      </c>
      <c r="I377" s="41"/>
      <c r="J377" s="82" t="s">
        <v>1723</v>
      </c>
      <c r="K377" s="82" t="s">
        <v>1724</v>
      </c>
      <c r="L377" s="82" t="s">
        <v>2054</v>
      </c>
      <c r="M377" s="83" t="s">
        <v>2055</v>
      </c>
      <c r="N377" s="74" t="b">
        <v>0</v>
      </c>
      <c r="O377" s="74" t="b">
        <v>0</v>
      </c>
      <c r="P377" s="74" t="b">
        <v>0</v>
      </c>
      <c r="Q377" s="82" t="s">
        <v>319</v>
      </c>
      <c r="R377" s="83" t="s">
        <v>2056</v>
      </c>
      <c r="S377" s="82" t="s">
        <v>1728</v>
      </c>
      <c r="T377" s="41"/>
      <c r="U377" s="41"/>
      <c r="V377" s="41"/>
      <c r="W377" s="41"/>
      <c r="X377" s="41"/>
      <c r="Y377" s="41"/>
      <c r="Z377" s="41"/>
      <c r="AA377" s="41"/>
      <c r="AB377" s="41"/>
      <c r="AC377" s="41"/>
    </row>
    <row r="378" ht="15.75" customHeight="1">
      <c r="A378" s="82" t="s">
        <v>122</v>
      </c>
      <c r="B378" s="82" t="s">
        <v>2057</v>
      </c>
      <c r="C378" s="82" t="s">
        <v>142</v>
      </c>
      <c r="D378" s="82" t="s">
        <v>1718</v>
      </c>
      <c r="E378" s="82" t="s">
        <v>1719</v>
      </c>
      <c r="F378" s="82" t="s">
        <v>1720</v>
      </c>
      <c r="G378" s="82" t="s">
        <v>1721</v>
      </c>
      <c r="H378" s="82" t="s">
        <v>1722</v>
      </c>
      <c r="I378" s="41"/>
      <c r="J378" s="82" t="s">
        <v>1723</v>
      </c>
      <c r="K378" s="82" t="s">
        <v>1724</v>
      </c>
      <c r="L378" s="82" t="s">
        <v>2043</v>
      </c>
      <c r="M378" s="83" t="s">
        <v>2058</v>
      </c>
      <c r="N378" s="74" t="b">
        <v>0</v>
      </c>
      <c r="O378" s="74" t="b">
        <v>0</v>
      </c>
      <c r="P378" s="74" t="b">
        <v>0</v>
      </c>
      <c r="Q378" s="82" t="s">
        <v>319</v>
      </c>
      <c r="R378" s="83" t="s">
        <v>2045</v>
      </c>
      <c r="S378" s="82" t="s">
        <v>1728</v>
      </c>
      <c r="T378" s="41"/>
      <c r="U378" s="41"/>
      <c r="V378" s="41"/>
      <c r="W378" s="41"/>
      <c r="X378" s="41"/>
      <c r="Y378" s="41"/>
      <c r="Z378" s="41"/>
      <c r="AA378" s="41"/>
      <c r="AB378" s="41"/>
      <c r="AC378" s="41"/>
    </row>
    <row r="379" ht="15.75" customHeight="1">
      <c r="A379" s="82" t="s">
        <v>122</v>
      </c>
      <c r="B379" s="82" t="s">
        <v>2059</v>
      </c>
      <c r="C379" s="82" t="s">
        <v>142</v>
      </c>
      <c r="D379" s="82" t="s">
        <v>1718</v>
      </c>
      <c r="E379" s="82" t="s">
        <v>1719</v>
      </c>
      <c r="F379" s="82" t="s">
        <v>1720</v>
      </c>
      <c r="G379" s="82" t="s">
        <v>1721</v>
      </c>
      <c r="H379" s="82" t="s">
        <v>1722</v>
      </c>
      <c r="I379" s="41"/>
      <c r="J379" s="82" t="s">
        <v>1723</v>
      </c>
      <c r="K379" s="82" t="s">
        <v>1724</v>
      </c>
      <c r="L379" s="82" t="s">
        <v>2060</v>
      </c>
      <c r="M379" s="83" t="s">
        <v>2061</v>
      </c>
      <c r="N379" s="74" t="b">
        <v>0</v>
      </c>
      <c r="O379" s="74" t="b">
        <v>0</v>
      </c>
      <c r="P379" s="74" t="b">
        <v>0</v>
      </c>
      <c r="Q379" s="82" t="s">
        <v>319</v>
      </c>
      <c r="R379" s="83" t="s">
        <v>2056</v>
      </c>
      <c r="S379" s="82" t="s">
        <v>1728</v>
      </c>
      <c r="T379" s="41"/>
      <c r="U379" s="41"/>
      <c r="V379" s="41"/>
      <c r="W379" s="41"/>
      <c r="X379" s="41"/>
      <c r="Y379" s="41"/>
      <c r="Z379" s="41"/>
      <c r="AA379" s="41"/>
      <c r="AB379" s="41"/>
      <c r="AC379" s="41"/>
    </row>
    <row r="380" ht="15.75" customHeight="1">
      <c r="A380" s="82" t="s">
        <v>122</v>
      </c>
      <c r="B380" s="82" t="s">
        <v>2062</v>
      </c>
      <c r="C380" s="82" t="s">
        <v>142</v>
      </c>
      <c r="D380" s="82" t="s">
        <v>1718</v>
      </c>
      <c r="E380" s="82" t="s">
        <v>1719</v>
      </c>
      <c r="F380" s="82" t="s">
        <v>1720</v>
      </c>
      <c r="G380" s="82" t="s">
        <v>1721</v>
      </c>
      <c r="H380" s="82" t="s">
        <v>1722</v>
      </c>
      <c r="I380" s="41"/>
      <c r="J380" s="82" t="s">
        <v>1723</v>
      </c>
      <c r="K380" s="82" t="s">
        <v>1724</v>
      </c>
      <c r="L380" s="82" t="s">
        <v>2043</v>
      </c>
      <c r="M380" s="83" t="s">
        <v>2063</v>
      </c>
      <c r="N380" s="74" t="b">
        <v>0</v>
      </c>
      <c r="O380" s="74" t="b">
        <v>0</v>
      </c>
      <c r="P380" s="74" t="b">
        <v>0</v>
      </c>
      <c r="Q380" s="82" t="s">
        <v>319</v>
      </c>
      <c r="R380" s="83" t="s">
        <v>2045</v>
      </c>
      <c r="S380" s="82" t="s">
        <v>1728</v>
      </c>
      <c r="T380" s="41"/>
      <c r="U380" s="41"/>
      <c r="V380" s="41"/>
      <c r="W380" s="41"/>
      <c r="X380" s="41"/>
      <c r="Y380" s="41"/>
      <c r="Z380" s="41"/>
      <c r="AA380" s="41"/>
      <c r="AB380" s="41"/>
      <c r="AC380" s="41"/>
    </row>
    <row r="381" ht="15.75" customHeight="1">
      <c r="A381" s="82" t="s">
        <v>122</v>
      </c>
      <c r="B381" s="82" t="s">
        <v>2064</v>
      </c>
      <c r="C381" s="82" t="s">
        <v>142</v>
      </c>
      <c r="D381" s="82" t="s">
        <v>1718</v>
      </c>
      <c r="E381" s="82" t="s">
        <v>1719</v>
      </c>
      <c r="F381" s="82" t="s">
        <v>1720</v>
      </c>
      <c r="G381" s="82" t="s">
        <v>1721</v>
      </c>
      <c r="H381" s="82" t="s">
        <v>1722</v>
      </c>
      <c r="I381" s="41"/>
      <c r="J381" s="82" t="s">
        <v>1723</v>
      </c>
      <c r="K381" s="82" t="s">
        <v>1724</v>
      </c>
      <c r="L381" s="82" t="s">
        <v>2043</v>
      </c>
      <c r="M381" s="83" t="s">
        <v>2065</v>
      </c>
      <c r="N381" s="74" t="b">
        <v>0</v>
      </c>
      <c r="O381" s="74" t="b">
        <v>0</v>
      </c>
      <c r="P381" s="74" t="b">
        <v>0</v>
      </c>
      <c r="Q381" s="82" t="s">
        <v>319</v>
      </c>
      <c r="R381" s="83" t="s">
        <v>2045</v>
      </c>
      <c r="S381" s="82" t="s">
        <v>1728</v>
      </c>
      <c r="T381" s="41"/>
      <c r="U381" s="41"/>
      <c r="V381" s="41"/>
      <c r="W381" s="41"/>
      <c r="X381" s="41"/>
      <c r="Y381" s="41"/>
      <c r="Z381" s="41"/>
      <c r="AA381" s="41"/>
      <c r="AB381" s="41"/>
      <c r="AC381" s="41"/>
    </row>
    <row r="382" ht="15.75" customHeight="1">
      <c r="A382" s="82" t="s">
        <v>122</v>
      </c>
      <c r="B382" s="82" t="s">
        <v>2066</v>
      </c>
      <c r="C382" s="82" t="s">
        <v>142</v>
      </c>
      <c r="D382" s="82" t="s">
        <v>1718</v>
      </c>
      <c r="E382" s="82" t="s">
        <v>1719</v>
      </c>
      <c r="F382" s="82" t="s">
        <v>1720</v>
      </c>
      <c r="G382" s="82" t="s">
        <v>1721</v>
      </c>
      <c r="H382" s="82" t="s">
        <v>1722</v>
      </c>
      <c r="I382" s="41"/>
      <c r="J382" s="82" t="s">
        <v>1723</v>
      </c>
      <c r="K382" s="82" t="s">
        <v>1724</v>
      </c>
      <c r="L382" s="82" t="s">
        <v>2067</v>
      </c>
      <c r="M382" s="83" t="s">
        <v>2068</v>
      </c>
      <c r="N382" s="74" t="b">
        <v>0</v>
      </c>
      <c r="O382" s="74" t="b">
        <v>0</v>
      </c>
      <c r="P382" s="74" t="b">
        <v>0</v>
      </c>
      <c r="Q382" s="82" t="s">
        <v>319</v>
      </c>
      <c r="R382" s="83" t="s">
        <v>2045</v>
      </c>
      <c r="S382" s="82" t="s">
        <v>1728</v>
      </c>
      <c r="T382" s="41"/>
      <c r="U382" s="41"/>
      <c r="V382" s="41"/>
      <c r="W382" s="41"/>
      <c r="X382" s="41"/>
      <c r="Y382" s="41"/>
      <c r="Z382" s="41"/>
      <c r="AA382" s="41"/>
      <c r="AB382" s="41"/>
      <c r="AC382" s="41"/>
    </row>
    <row r="383" ht="15.75" customHeight="1">
      <c r="A383" s="82" t="s">
        <v>122</v>
      </c>
      <c r="B383" s="82" t="s">
        <v>2069</v>
      </c>
      <c r="C383" s="82" t="s">
        <v>142</v>
      </c>
      <c r="D383" s="82" t="s">
        <v>1718</v>
      </c>
      <c r="E383" s="82" t="s">
        <v>1719</v>
      </c>
      <c r="F383" s="82" t="s">
        <v>1720</v>
      </c>
      <c r="G383" s="82" t="s">
        <v>1721</v>
      </c>
      <c r="H383" s="82" t="s">
        <v>1722</v>
      </c>
      <c r="I383" s="41"/>
      <c r="J383" s="82" t="s">
        <v>1723</v>
      </c>
      <c r="K383" s="82" t="s">
        <v>1724</v>
      </c>
      <c r="L383" s="82" t="s">
        <v>2060</v>
      </c>
      <c r="M383" s="83" t="s">
        <v>2070</v>
      </c>
      <c r="N383" s="74" t="b">
        <v>0</v>
      </c>
      <c r="O383" s="74" t="b">
        <v>0</v>
      </c>
      <c r="P383" s="74" t="b">
        <v>0</v>
      </c>
      <c r="Q383" s="82" t="s">
        <v>319</v>
      </c>
      <c r="R383" s="83" t="s">
        <v>2056</v>
      </c>
      <c r="S383" s="82" t="s">
        <v>1728</v>
      </c>
      <c r="T383" s="41"/>
      <c r="U383" s="41"/>
      <c r="V383" s="41"/>
      <c r="W383" s="41"/>
      <c r="X383" s="41"/>
      <c r="Y383" s="41"/>
      <c r="Z383" s="41"/>
      <c r="AA383" s="41"/>
      <c r="AB383" s="41"/>
      <c r="AC383" s="41"/>
    </row>
    <row r="384" ht="15.75" customHeight="1">
      <c r="A384" s="82" t="s">
        <v>122</v>
      </c>
      <c r="B384" s="82" t="s">
        <v>2071</v>
      </c>
      <c r="C384" s="82" t="s">
        <v>142</v>
      </c>
      <c r="D384" s="82" t="s">
        <v>1718</v>
      </c>
      <c r="E384" s="82" t="s">
        <v>1719</v>
      </c>
      <c r="F384" s="82" t="s">
        <v>1720</v>
      </c>
      <c r="G384" s="82" t="s">
        <v>1721</v>
      </c>
      <c r="H384" s="82" t="s">
        <v>1722</v>
      </c>
      <c r="I384" s="41"/>
      <c r="J384" s="82" t="s">
        <v>1723</v>
      </c>
      <c r="K384" s="82" t="s">
        <v>1724</v>
      </c>
      <c r="L384" s="82" t="s">
        <v>2043</v>
      </c>
      <c r="M384" s="83" t="s">
        <v>2072</v>
      </c>
      <c r="N384" s="74" t="b">
        <v>0</v>
      </c>
      <c r="O384" s="74" t="b">
        <v>0</v>
      </c>
      <c r="P384" s="74" t="b">
        <v>0</v>
      </c>
      <c r="Q384" s="82" t="s">
        <v>319</v>
      </c>
      <c r="R384" s="83" t="s">
        <v>2045</v>
      </c>
      <c r="S384" s="82" t="s">
        <v>1728</v>
      </c>
      <c r="T384" s="41"/>
      <c r="U384" s="41"/>
      <c r="V384" s="41"/>
      <c r="W384" s="41"/>
      <c r="X384" s="41"/>
      <c r="Y384" s="41"/>
      <c r="Z384" s="41"/>
      <c r="AA384" s="41"/>
      <c r="AB384" s="41"/>
      <c r="AC384" s="41"/>
    </row>
    <row r="385" ht="15.75" customHeight="1">
      <c r="A385" s="82" t="s">
        <v>122</v>
      </c>
      <c r="B385" s="82" t="s">
        <v>2073</v>
      </c>
      <c r="C385" s="82" t="s">
        <v>77</v>
      </c>
      <c r="D385" s="82" t="s">
        <v>1718</v>
      </c>
      <c r="E385" s="82" t="s">
        <v>1719</v>
      </c>
      <c r="F385" s="82" t="s">
        <v>1720</v>
      </c>
      <c r="G385" s="82" t="s">
        <v>1721</v>
      </c>
      <c r="H385" s="82" t="s">
        <v>1722</v>
      </c>
      <c r="I385" s="41"/>
      <c r="J385" s="82" t="s">
        <v>1723</v>
      </c>
      <c r="K385" s="82" t="s">
        <v>1724</v>
      </c>
      <c r="L385" s="82" t="s">
        <v>2074</v>
      </c>
      <c r="M385" s="83" t="s">
        <v>2075</v>
      </c>
      <c r="N385" s="74" t="b">
        <v>0</v>
      </c>
      <c r="O385" s="74" t="b">
        <v>0</v>
      </c>
      <c r="P385" s="74" t="b">
        <v>0</v>
      </c>
      <c r="Q385" s="82" t="s">
        <v>319</v>
      </c>
      <c r="R385" s="83" t="s">
        <v>2076</v>
      </c>
      <c r="S385" s="82" t="s">
        <v>1728</v>
      </c>
      <c r="T385" s="41"/>
      <c r="U385" s="41"/>
      <c r="V385" s="41"/>
      <c r="W385" s="41"/>
      <c r="X385" s="41"/>
      <c r="Y385" s="41"/>
      <c r="Z385" s="41"/>
      <c r="AA385" s="41"/>
      <c r="AB385" s="41"/>
      <c r="AC385" s="41"/>
    </row>
    <row r="386" ht="15.75" customHeight="1">
      <c r="A386" s="82" t="s">
        <v>122</v>
      </c>
      <c r="B386" s="82" t="s">
        <v>2077</v>
      </c>
      <c r="C386" s="82" t="s">
        <v>77</v>
      </c>
      <c r="D386" s="82" t="s">
        <v>1718</v>
      </c>
      <c r="E386" s="82" t="s">
        <v>1719</v>
      </c>
      <c r="F386" s="82" t="s">
        <v>1720</v>
      </c>
      <c r="G386" s="82" t="s">
        <v>1721</v>
      </c>
      <c r="H386" s="82" t="s">
        <v>1722</v>
      </c>
      <c r="I386" s="41"/>
      <c r="J386" s="82" t="s">
        <v>1723</v>
      </c>
      <c r="K386" s="82" t="s">
        <v>1724</v>
      </c>
      <c r="L386" s="82" t="s">
        <v>2078</v>
      </c>
      <c r="M386" s="83" t="s">
        <v>2079</v>
      </c>
      <c r="N386" s="74" t="b">
        <v>0</v>
      </c>
      <c r="O386" s="74" t="b">
        <v>0</v>
      </c>
      <c r="P386" s="74" t="b">
        <v>0</v>
      </c>
      <c r="Q386" s="82" t="s">
        <v>319</v>
      </c>
      <c r="R386" s="83" t="s">
        <v>2076</v>
      </c>
      <c r="S386" s="82" t="s">
        <v>1728</v>
      </c>
      <c r="T386" s="41"/>
      <c r="U386" s="41"/>
      <c r="V386" s="41"/>
      <c r="W386" s="41"/>
      <c r="X386" s="41"/>
      <c r="Y386" s="41"/>
      <c r="Z386" s="41"/>
      <c r="AA386" s="41"/>
      <c r="AB386" s="41"/>
      <c r="AC386" s="41"/>
    </row>
    <row r="387" ht="15.75" customHeight="1">
      <c r="A387" s="82" t="s">
        <v>122</v>
      </c>
      <c r="B387" s="82" t="s">
        <v>2080</v>
      </c>
      <c r="C387" s="82" t="s">
        <v>77</v>
      </c>
      <c r="D387" s="82" t="s">
        <v>1718</v>
      </c>
      <c r="E387" s="82" t="s">
        <v>1719</v>
      </c>
      <c r="F387" s="82" t="s">
        <v>1720</v>
      </c>
      <c r="G387" s="82" t="s">
        <v>1721</v>
      </c>
      <c r="H387" s="82" t="s">
        <v>1722</v>
      </c>
      <c r="I387" s="41"/>
      <c r="J387" s="82" t="s">
        <v>1723</v>
      </c>
      <c r="K387" s="82" t="s">
        <v>1724</v>
      </c>
      <c r="L387" s="82" t="s">
        <v>2078</v>
      </c>
      <c r="M387" s="83" t="s">
        <v>2081</v>
      </c>
      <c r="N387" s="74" t="b">
        <v>0</v>
      </c>
      <c r="O387" s="74" t="b">
        <v>0</v>
      </c>
      <c r="P387" s="74" t="b">
        <v>0</v>
      </c>
      <c r="Q387" s="82" t="s">
        <v>319</v>
      </c>
      <c r="R387" s="83" t="s">
        <v>2076</v>
      </c>
      <c r="S387" s="82" t="s">
        <v>1728</v>
      </c>
      <c r="T387" s="41"/>
      <c r="U387" s="41"/>
      <c r="V387" s="41"/>
      <c r="W387" s="41"/>
      <c r="X387" s="41"/>
      <c r="Y387" s="41"/>
      <c r="Z387" s="41"/>
      <c r="AA387" s="41"/>
      <c r="AB387" s="41"/>
      <c r="AC387" s="41"/>
    </row>
    <row r="388" ht="15.75" customHeight="1">
      <c r="A388" s="82" t="s">
        <v>122</v>
      </c>
      <c r="B388" s="82" t="s">
        <v>2082</v>
      </c>
      <c r="C388" s="82" t="s">
        <v>77</v>
      </c>
      <c r="D388" s="82" t="s">
        <v>1718</v>
      </c>
      <c r="E388" s="82" t="s">
        <v>1719</v>
      </c>
      <c r="F388" s="82" t="s">
        <v>1754</v>
      </c>
      <c r="G388" s="82" t="s">
        <v>1721</v>
      </c>
      <c r="H388" s="82" t="s">
        <v>1722</v>
      </c>
      <c r="I388" s="41"/>
      <c r="J388" s="82" t="s">
        <v>1723</v>
      </c>
      <c r="K388" s="82" t="s">
        <v>1724</v>
      </c>
      <c r="L388" s="82" t="s">
        <v>2083</v>
      </c>
      <c r="M388" s="83" t="s">
        <v>2084</v>
      </c>
      <c r="N388" s="74" t="b">
        <v>0</v>
      </c>
      <c r="O388" s="74" t="b">
        <v>0</v>
      </c>
      <c r="P388" s="74" t="b">
        <v>0</v>
      </c>
      <c r="Q388" s="82" t="s">
        <v>319</v>
      </c>
      <c r="R388" s="83" t="s">
        <v>2076</v>
      </c>
      <c r="S388" s="82" t="s">
        <v>1728</v>
      </c>
      <c r="T388" s="41"/>
      <c r="U388" s="41"/>
      <c r="V388" s="41"/>
      <c r="W388" s="41"/>
      <c r="X388" s="41"/>
      <c r="Y388" s="41"/>
      <c r="Z388" s="41"/>
      <c r="AA388" s="41"/>
      <c r="AB388" s="41"/>
      <c r="AC388" s="41"/>
    </row>
    <row r="389" ht="15.75" customHeight="1">
      <c r="A389" s="82" t="s">
        <v>122</v>
      </c>
      <c r="B389" s="82" t="s">
        <v>2085</v>
      </c>
      <c r="C389" s="82" t="s">
        <v>77</v>
      </c>
      <c r="D389" s="82" t="s">
        <v>1718</v>
      </c>
      <c r="E389" s="82" t="s">
        <v>1719</v>
      </c>
      <c r="F389" s="82" t="s">
        <v>1720</v>
      </c>
      <c r="G389" s="82" t="s">
        <v>1721</v>
      </c>
      <c r="H389" s="82" t="s">
        <v>1722</v>
      </c>
      <c r="I389" s="41"/>
      <c r="J389" s="82" t="s">
        <v>1723</v>
      </c>
      <c r="K389" s="82" t="s">
        <v>1724</v>
      </c>
      <c r="L389" s="82" t="s">
        <v>2086</v>
      </c>
      <c r="M389" s="83" t="s">
        <v>2087</v>
      </c>
      <c r="N389" s="74" t="b">
        <v>0</v>
      </c>
      <c r="O389" s="74" t="b">
        <v>0</v>
      </c>
      <c r="P389" s="74" t="b">
        <v>0</v>
      </c>
      <c r="Q389" s="82" t="s">
        <v>319</v>
      </c>
      <c r="R389" s="83" t="s">
        <v>2076</v>
      </c>
      <c r="S389" s="82" t="s">
        <v>1728</v>
      </c>
      <c r="T389" s="41"/>
      <c r="U389" s="41"/>
      <c r="V389" s="41"/>
      <c r="W389" s="41"/>
      <c r="X389" s="41"/>
      <c r="Y389" s="41"/>
      <c r="Z389" s="41"/>
      <c r="AA389" s="41"/>
      <c r="AB389" s="41"/>
      <c r="AC389" s="41"/>
    </row>
    <row r="390" ht="15.75" customHeight="1">
      <c r="A390" s="82" t="s">
        <v>122</v>
      </c>
      <c r="B390" s="82" t="s">
        <v>2088</v>
      </c>
      <c r="C390" s="82" t="s">
        <v>77</v>
      </c>
      <c r="D390" s="82" t="s">
        <v>1718</v>
      </c>
      <c r="E390" s="82" t="s">
        <v>1719</v>
      </c>
      <c r="F390" s="82" t="s">
        <v>1730</v>
      </c>
      <c r="G390" s="82" t="s">
        <v>1721</v>
      </c>
      <c r="H390" s="82" t="s">
        <v>1722</v>
      </c>
      <c r="I390" s="41"/>
      <c r="J390" s="82" t="s">
        <v>1723</v>
      </c>
      <c r="K390" s="82" t="s">
        <v>1724</v>
      </c>
      <c r="L390" s="82" t="s">
        <v>2089</v>
      </c>
      <c r="M390" s="83" t="s">
        <v>2090</v>
      </c>
      <c r="N390" s="74" t="b">
        <v>0</v>
      </c>
      <c r="O390" s="74" t="b">
        <v>0</v>
      </c>
      <c r="P390" s="74" t="b">
        <v>0</v>
      </c>
      <c r="Q390" s="82" t="s">
        <v>319</v>
      </c>
      <c r="R390" s="83" t="s">
        <v>2076</v>
      </c>
      <c r="S390" s="82" t="s">
        <v>1728</v>
      </c>
      <c r="T390" s="41"/>
      <c r="U390" s="41"/>
      <c r="V390" s="41"/>
      <c r="W390" s="41"/>
      <c r="X390" s="41"/>
      <c r="Y390" s="41"/>
      <c r="Z390" s="41"/>
      <c r="AA390" s="41"/>
      <c r="AB390" s="41"/>
      <c r="AC390" s="41"/>
    </row>
    <row r="391" ht="15.75" customHeight="1">
      <c r="A391" s="82" t="s">
        <v>122</v>
      </c>
      <c r="B391" s="82" t="s">
        <v>2091</v>
      </c>
      <c r="C391" s="82" t="s">
        <v>77</v>
      </c>
      <c r="D391" s="82" t="s">
        <v>1718</v>
      </c>
      <c r="E391" s="82" t="s">
        <v>1719</v>
      </c>
      <c r="F391" s="82" t="s">
        <v>1720</v>
      </c>
      <c r="G391" s="82" t="s">
        <v>1721</v>
      </c>
      <c r="H391" s="82" t="s">
        <v>1722</v>
      </c>
      <c r="I391" s="41"/>
      <c r="J391" s="82" t="s">
        <v>1723</v>
      </c>
      <c r="K391" s="82" t="s">
        <v>1724</v>
      </c>
      <c r="L391" s="82" t="s">
        <v>2092</v>
      </c>
      <c r="M391" s="83" t="s">
        <v>2093</v>
      </c>
      <c r="N391" s="74" t="b">
        <v>0</v>
      </c>
      <c r="O391" s="74" t="b">
        <v>0</v>
      </c>
      <c r="P391" s="74" t="b">
        <v>0</v>
      </c>
      <c r="Q391" s="82" t="s">
        <v>319</v>
      </c>
      <c r="R391" s="83" t="s">
        <v>2076</v>
      </c>
      <c r="S391" s="82" t="s">
        <v>1728</v>
      </c>
      <c r="T391" s="41"/>
      <c r="U391" s="41"/>
      <c r="V391" s="41"/>
      <c r="W391" s="41"/>
      <c r="X391" s="41"/>
      <c r="Y391" s="41"/>
      <c r="Z391" s="41"/>
      <c r="AA391" s="41"/>
      <c r="AB391" s="41"/>
      <c r="AC391" s="41"/>
    </row>
    <row r="392" ht="15.75" customHeight="1">
      <c r="A392" s="82" t="s">
        <v>122</v>
      </c>
      <c r="B392" s="82" t="s">
        <v>2094</v>
      </c>
      <c r="C392" s="82" t="s">
        <v>77</v>
      </c>
      <c r="D392" s="82" t="s">
        <v>1718</v>
      </c>
      <c r="E392" s="82" t="s">
        <v>1719</v>
      </c>
      <c r="F392" s="82" t="s">
        <v>1754</v>
      </c>
      <c r="G392" s="82" t="s">
        <v>1721</v>
      </c>
      <c r="H392" s="82" t="s">
        <v>1722</v>
      </c>
      <c r="I392" s="41"/>
      <c r="J392" s="82" t="s">
        <v>1723</v>
      </c>
      <c r="K392" s="82" t="s">
        <v>1724</v>
      </c>
      <c r="L392" s="82" t="s">
        <v>2083</v>
      </c>
      <c r="M392" s="83" t="s">
        <v>2095</v>
      </c>
      <c r="N392" s="74" t="b">
        <v>0</v>
      </c>
      <c r="O392" s="74" t="b">
        <v>0</v>
      </c>
      <c r="P392" s="74" t="b">
        <v>0</v>
      </c>
      <c r="Q392" s="82" t="s">
        <v>319</v>
      </c>
      <c r="R392" s="83" t="s">
        <v>2076</v>
      </c>
      <c r="S392" s="82" t="s">
        <v>1728</v>
      </c>
      <c r="T392" s="41"/>
      <c r="U392" s="41"/>
      <c r="V392" s="41"/>
      <c r="W392" s="41"/>
      <c r="X392" s="41"/>
      <c r="Y392" s="41"/>
      <c r="Z392" s="41"/>
      <c r="AA392" s="41"/>
      <c r="AB392" s="41"/>
      <c r="AC392" s="41"/>
    </row>
    <row r="393" ht="15.75" customHeight="1">
      <c r="A393" s="82" t="s">
        <v>122</v>
      </c>
      <c r="B393" s="82" t="s">
        <v>2096</v>
      </c>
      <c r="C393" s="82" t="s">
        <v>77</v>
      </c>
      <c r="D393" s="82" t="s">
        <v>1718</v>
      </c>
      <c r="E393" s="82" t="s">
        <v>1719</v>
      </c>
      <c r="F393" s="82" t="s">
        <v>1730</v>
      </c>
      <c r="G393" s="82" t="s">
        <v>1721</v>
      </c>
      <c r="H393" s="82" t="s">
        <v>1722</v>
      </c>
      <c r="I393" s="41"/>
      <c r="J393" s="82" t="s">
        <v>1723</v>
      </c>
      <c r="K393" s="82" t="s">
        <v>1724</v>
      </c>
      <c r="L393" s="82" t="s">
        <v>2089</v>
      </c>
      <c r="M393" s="83" t="s">
        <v>2097</v>
      </c>
      <c r="N393" s="74" t="b">
        <v>0</v>
      </c>
      <c r="O393" s="74" t="b">
        <v>0</v>
      </c>
      <c r="P393" s="74" t="b">
        <v>0</v>
      </c>
      <c r="Q393" s="82" t="s">
        <v>319</v>
      </c>
      <c r="R393" s="83" t="s">
        <v>2076</v>
      </c>
      <c r="S393" s="82" t="s">
        <v>1728</v>
      </c>
      <c r="T393" s="41"/>
      <c r="U393" s="41"/>
      <c r="V393" s="41"/>
      <c r="W393" s="41"/>
      <c r="X393" s="41"/>
      <c r="Y393" s="41"/>
      <c r="Z393" s="41"/>
      <c r="AA393" s="41"/>
      <c r="AB393" s="41"/>
      <c r="AC393" s="41"/>
    </row>
    <row r="394" ht="15.75" customHeight="1">
      <c r="A394" s="82" t="s">
        <v>122</v>
      </c>
      <c r="B394" s="82" t="s">
        <v>2098</v>
      </c>
      <c r="C394" s="82" t="s">
        <v>77</v>
      </c>
      <c r="D394" s="82" t="s">
        <v>1718</v>
      </c>
      <c r="E394" s="82" t="s">
        <v>1719</v>
      </c>
      <c r="F394" s="82" t="s">
        <v>1720</v>
      </c>
      <c r="G394" s="82" t="s">
        <v>1721</v>
      </c>
      <c r="H394" s="82" t="s">
        <v>1722</v>
      </c>
      <c r="I394" s="41"/>
      <c r="J394" s="82" t="s">
        <v>1723</v>
      </c>
      <c r="K394" s="82" t="s">
        <v>1724</v>
      </c>
      <c r="L394" s="82" t="s">
        <v>2078</v>
      </c>
      <c r="M394" s="83" t="s">
        <v>2099</v>
      </c>
      <c r="N394" s="74" t="b">
        <v>0</v>
      </c>
      <c r="O394" s="74" t="b">
        <v>0</v>
      </c>
      <c r="P394" s="74" t="b">
        <v>0</v>
      </c>
      <c r="Q394" s="82" t="s">
        <v>319</v>
      </c>
      <c r="R394" s="83" t="s">
        <v>2076</v>
      </c>
      <c r="S394" s="82" t="s">
        <v>1728</v>
      </c>
      <c r="T394" s="41"/>
      <c r="U394" s="41"/>
      <c r="V394" s="41"/>
      <c r="W394" s="41"/>
      <c r="X394" s="41"/>
      <c r="Y394" s="41"/>
      <c r="Z394" s="41"/>
      <c r="AA394" s="41"/>
      <c r="AB394" s="41"/>
      <c r="AC394" s="41"/>
    </row>
    <row r="395" ht="15.75" customHeight="1">
      <c r="A395" s="82" t="s">
        <v>122</v>
      </c>
      <c r="B395" s="82" t="s">
        <v>2100</v>
      </c>
      <c r="C395" s="82" t="s">
        <v>77</v>
      </c>
      <c r="D395" s="82" t="s">
        <v>1718</v>
      </c>
      <c r="E395" s="82" t="s">
        <v>1719</v>
      </c>
      <c r="F395" s="82" t="s">
        <v>1720</v>
      </c>
      <c r="G395" s="82" t="s">
        <v>1721</v>
      </c>
      <c r="H395" s="82" t="s">
        <v>1722</v>
      </c>
      <c r="I395" s="41"/>
      <c r="J395" s="82" t="s">
        <v>1723</v>
      </c>
      <c r="K395" s="82" t="s">
        <v>1724</v>
      </c>
      <c r="L395" s="82" t="s">
        <v>2101</v>
      </c>
      <c r="M395" s="83" t="s">
        <v>2102</v>
      </c>
      <c r="N395" s="74" t="b">
        <v>0</v>
      </c>
      <c r="O395" s="74" t="b">
        <v>0</v>
      </c>
      <c r="P395" s="74" t="b">
        <v>0</v>
      </c>
      <c r="Q395" s="82" t="s">
        <v>319</v>
      </c>
      <c r="R395" s="83" t="s">
        <v>2076</v>
      </c>
      <c r="S395" s="82" t="s">
        <v>1728</v>
      </c>
      <c r="T395" s="41"/>
      <c r="U395" s="41"/>
      <c r="V395" s="41"/>
      <c r="W395" s="41"/>
      <c r="X395" s="41"/>
      <c r="Y395" s="41"/>
      <c r="Z395" s="41"/>
      <c r="AA395" s="41"/>
      <c r="AB395" s="41"/>
      <c r="AC395" s="41"/>
    </row>
    <row r="396" ht="15.75" customHeight="1">
      <c r="A396" s="82" t="s">
        <v>122</v>
      </c>
      <c r="B396" s="82" t="s">
        <v>2103</v>
      </c>
      <c r="C396" s="82" t="s">
        <v>77</v>
      </c>
      <c r="D396" s="82" t="s">
        <v>1718</v>
      </c>
      <c r="E396" s="82" t="s">
        <v>1719</v>
      </c>
      <c r="F396" s="82" t="s">
        <v>1730</v>
      </c>
      <c r="G396" s="82" t="s">
        <v>1721</v>
      </c>
      <c r="H396" s="82" t="s">
        <v>1722</v>
      </c>
      <c r="I396" s="41"/>
      <c r="J396" s="82" t="s">
        <v>1723</v>
      </c>
      <c r="K396" s="82" t="s">
        <v>1724</v>
      </c>
      <c r="L396" s="82" t="s">
        <v>2089</v>
      </c>
      <c r="M396" s="83" t="s">
        <v>2104</v>
      </c>
      <c r="N396" s="74" t="b">
        <v>0</v>
      </c>
      <c r="O396" s="74" t="b">
        <v>0</v>
      </c>
      <c r="P396" s="74" t="b">
        <v>0</v>
      </c>
      <c r="Q396" s="82" t="s">
        <v>319</v>
      </c>
      <c r="R396" s="83" t="s">
        <v>2076</v>
      </c>
      <c r="S396" s="82" t="s">
        <v>1728</v>
      </c>
      <c r="T396" s="41"/>
      <c r="U396" s="41"/>
      <c r="V396" s="41"/>
      <c r="W396" s="41"/>
      <c r="X396" s="41"/>
      <c r="Y396" s="41"/>
      <c r="Z396" s="41"/>
      <c r="AA396" s="41"/>
      <c r="AB396" s="41"/>
      <c r="AC396" s="41"/>
    </row>
    <row r="397" ht="15.75" customHeight="1">
      <c r="A397" s="82" t="s">
        <v>122</v>
      </c>
      <c r="B397" s="82" t="s">
        <v>2105</v>
      </c>
      <c r="C397" s="82" t="s">
        <v>77</v>
      </c>
      <c r="D397" s="82" t="s">
        <v>1718</v>
      </c>
      <c r="E397" s="82" t="s">
        <v>1719</v>
      </c>
      <c r="F397" s="82" t="s">
        <v>1720</v>
      </c>
      <c r="G397" s="82" t="s">
        <v>1721</v>
      </c>
      <c r="H397" s="82" t="s">
        <v>1722</v>
      </c>
      <c r="I397" s="41"/>
      <c r="J397" s="82" t="s">
        <v>1723</v>
      </c>
      <c r="K397" s="82" t="s">
        <v>1724</v>
      </c>
      <c r="L397" s="82" t="s">
        <v>2106</v>
      </c>
      <c r="M397" s="83" t="s">
        <v>2107</v>
      </c>
      <c r="N397" s="74" t="b">
        <v>0</v>
      </c>
      <c r="O397" s="74" t="b">
        <v>0</v>
      </c>
      <c r="P397" s="74" t="b">
        <v>0</v>
      </c>
      <c r="Q397" s="82" t="s">
        <v>319</v>
      </c>
      <c r="R397" s="83" t="s">
        <v>2076</v>
      </c>
      <c r="S397" s="82" t="s">
        <v>1728</v>
      </c>
      <c r="T397" s="41"/>
      <c r="U397" s="41"/>
      <c r="V397" s="41"/>
      <c r="W397" s="41"/>
      <c r="X397" s="41"/>
      <c r="Y397" s="41"/>
      <c r="Z397" s="41"/>
      <c r="AA397" s="41"/>
      <c r="AB397" s="41"/>
      <c r="AC397" s="41"/>
    </row>
    <row r="398" ht="15.75" customHeight="1">
      <c r="A398" s="82" t="s">
        <v>122</v>
      </c>
      <c r="B398" s="82" t="s">
        <v>2108</v>
      </c>
      <c r="C398" s="82" t="s">
        <v>77</v>
      </c>
      <c r="D398" s="82" t="s">
        <v>1718</v>
      </c>
      <c r="E398" s="82" t="s">
        <v>1719</v>
      </c>
      <c r="F398" s="82" t="s">
        <v>1730</v>
      </c>
      <c r="G398" s="82" t="s">
        <v>1721</v>
      </c>
      <c r="H398" s="82" t="s">
        <v>1722</v>
      </c>
      <c r="I398" s="41"/>
      <c r="J398" s="82" t="s">
        <v>1723</v>
      </c>
      <c r="K398" s="82" t="s">
        <v>1724</v>
      </c>
      <c r="L398" s="82" t="s">
        <v>2089</v>
      </c>
      <c r="M398" s="83" t="s">
        <v>2109</v>
      </c>
      <c r="N398" s="74" t="b">
        <v>0</v>
      </c>
      <c r="O398" s="74" t="b">
        <v>0</v>
      </c>
      <c r="P398" s="74" t="b">
        <v>0</v>
      </c>
      <c r="Q398" s="82" t="s">
        <v>319</v>
      </c>
      <c r="R398" s="83" t="s">
        <v>2076</v>
      </c>
      <c r="S398" s="82" t="s">
        <v>1728</v>
      </c>
      <c r="T398" s="41"/>
      <c r="U398" s="41"/>
      <c r="V398" s="41"/>
      <c r="W398" s="41"/>
      <c r="X398" s="41"/>
      <c r="Y398" s="41"/>
      <c r="Z398" s="41"/>
      <c r="AA398" s="41"/>
      <c r="AB398" s="41"/>
      <c r="AC398" s="41"/>
    </row>
    <row r="399" ht="15.75" customHeight="1">
      <c r="A399" s="82" t="s">
        <v>122</v>
      </c>
      <c r="B399" s="82" t="s">
        <v>2110</v>
      </c>
      <c r="C399" s="82" t="s">
        <v>77</v>
      </c>
      <c r="D399" s="82" t="s">
        <v>1718</v>
      </c>
      <c r="E399" s="82" t="s">
        <v>1719</v>
      </c>
      <c r="F399" s="82" t="s">
        <v>1746</v>
      </c>
      <c r="G399" s="82" t="s">
        <v>1721</v>
      </c>
      <c r="H399" s="82" t="s">
        <v>1722</v>
      </c>
      <c r="I399" s="41"/>
      <c r="J399" s="82" t="s">
        <v>1723</v>
      </c>
      <c r="K399" s="82" t="s">
        <v>1724</v>
      </c>
      <c r="L399" s="82" t="s">
        <v>2111</v>
      </c>
      <c r="M399" s="83" t="s">
        <v>2112</v>
      </c>
      <c r="N399" s="74" t="b">
        <v>0</v>
      </c>
      <c r="O399" s="74" t="b">
        <v>0</v>
      </c>
      <c r="P399" s="74" t="b">
        <v>0</v>
      </c>
      <c r="Q399" s="82" t="s">
        <v>319</v>
      </c>
      <c r="R399" s="83" t="s">
        <v>2113</v>
      </c>
      <c r="S399" s="82" t="s">
        <v>1728</v>
      </c>
      <c r="T399" s="41"/>
      <c r="U399" s="41"/>
      <c r="V399" s="41"/>
      <c r="W399" s="41"/>
      <c r="X399" s="41"/>
      <c r="Y399" s="41"/>
      <c r="Z399" s="41"/>
      <c r="AA399" s="41"/>
      <c r="AB399" s="41"/>
      <c r="AC399" s="41"/>
    </row>
    <row r="400" ht="15.75" customHeight="1">
      <c r="A400" s="82" t="s">
        <v>122</v>
      </c>
      <c r="B400" s="82" t="s">
        <v>2114</v>
      </c>
      <c r="C400" s="82" t="s">
        <v>77</v>
      </c>
      <c r="D400" s="82" t="s">
        <v>1718</v>
      </c>
      <c r="E400" s="82" t="s">
        <v>1719</v>
      </c>
      <c r="F400" s="82" t="s">
        <v>1730</v>
      </c>
      <c r="G400" s="82" t="s">
        <v>1721</v>
      </c>
      <c r="H400" s="82" t="s">
        <v>1722</v>
      </c>
      <c r="I400" s="41"/>
      <c r="J400" s="82" t="s">
        <v>1723</v>
      </c>
      <c r="K400" s="82" t="s">
        <v>1724</v>
      </c>
      <c r="L400" s="82" t="s">
        <v>2089</v>
      </c>
      <c r="M400" s="83" t="s">
        <v>2115</v>
      </c>
      <c r="N400" s="74" t="b">
        <v>0</v>
      </c>
      <c r="O400" s="74" t="b">
        <v>0</v>
      </c>
      <c r="P400" s="74" t="b">
        <v>0</v>
      </c>
      <c r="Q400" s="82" t="s">
        <v>319</v>
      </c>
      <c r="R400" s="83" t="s">
        <v>2076</v>
      </c>
      <c r="S400" s="82" t="s">
        <v>1728</v>
      </c>
      <c r="T400" s="41"/>
      <c r="U400" s="41"/>
      <c r="V400" s="41"/>
      <c r="W400" s="41"/>
      <c r="X400" s="41"/>
      <c r="Y400" s="41"/>
      <c r="Z400" s="41"/>
      <c r="AA400" s="41"/>
      <c r="AB400" s="41"/>
      <c r="AC400" s="41"/>
    </row>
    <row r="401" ht="15.75" customHeight="1">
      <c r="A401" s="82" t="s">
        <v>122</v>
      </c>
      <c r="B401" s="82" t="s">
        <v>2116</v>
      </c>
      <c r="C401" s="82" t="s">
        <v>77</v>
      </c>
      <c r="D401" s="82" t="s">
        <v>1718</v>
      </c>
      <c r="E401" s="82" t="s">
        <v>1719</v>
      </c>
      <c r="F401" s="82" t="s">
        <v>1754</v>
      </c>
      <c r="G401" s="82" t="s">
        <v>1721</v>
      </c>
      <c r="H401" s="82" t="s">
        <v>1722</v>
      </c>
      <c r="I401" s="41"/>
      <c r="J401" s="82" t="s">
        <v>1723</v>
      </c>
      <c r="K401" s="82" t="s">
        <v>1724</v>
      </c>
      <c r="L401" s="82" t="s">
        <v>2117</v>
      </c>
      <c r="M401" s="83" t="s">
        <v>2118</v>
      </c>
      <c r="N401" s="74" t="b">
        <v>0</v>
      </c>
      <c r="O401" s="74" t="b">
        <v>0</v>
      </c>
      <c r="P401" s="74" t="b">
        <v>0</v>
      </c>
      <c r="Q401" s="82" t="s">
        <v>319</v>
      </c>
      <c r="R401" s="83" t="s">
        <v>2076</v>
      </c>
      <c r="S401" s="82" t="s">
        <v>1728</v>
      </c>
      <c r="T401" s="41"/>
      <c r="U401" s="41"/>
      <c r="V401" s="41"/>
      <c r="W401" s="41"/>
      <c r="X401" s="41"/>
      <c r="Y401" s="41"/>
      <c r="Z401" s="41"/>
      <c r="AA401" s="41"/>
      <c r="AB401" s="41"/>
      <c r="AC401" s="41"/>
    </row>
    <row r="402" ht="15.75" customHeight="1">
      <c r="A402" s="82" t="s">
        <v>122</v>
      </c>
      <c r="B402" s="82" t="s">
        <v>2119</v>
      </c>
      <c r="C402" s="82" t="s">
        <v>77</v>
      </c>
      <c r="D402" s="82" t="s">
        <v>1718</v>
      </c>
      <c r="E402" s="82" t="s">
        <v>1719</v>
      </c>
      <c r="F402" s="82" t="s">
        <v>1720</v>
      </c>
      <c r="G402" s="82" t="s">
        <v>1721</v>
      </c>
      <c r="H402" s="82" t="s">
        <v>1722</v>
      </c>
      <c r="I402" s="41"/>
      <c r="J402" s="82" t="s">
        <v>1723</v>
      </c>
      <c r="K402" s="82" t="s">
        <v>1724</v>
      </c>
      <c r="L402" s="82" t="s">
        <v>2120</v>
      </c>
      <c r="M402" s="83" t="s">
        <v>2121</v>
      </c>
      <c r="N402" s="74" t="b">
        <v>0</v>
      </c>
      <c r="O402" s="74" t="b">
        <v>0</v>
      </c>
      <c r="P402" s="74" t="b">
        <v>0</v>
      </c>
      <c r="Q402" s="82" t="s">
        <v>319</v>
      </c>
      <c r="R402" s="83" t="s">
        <v>2076</v>
      </c>
      <c r="S402" s="82" t="s">
        <v>1728</v>
      </c>
      <c r="T402" s="41"/>
      <c r="U402" s="41"/>
      <c r="V402" s="41"/>
      <c r="W402" s="41"/>
      <c r="X402" s="41"/>
      <c r="Y402" s="41"/>
      <c r="Z402" s="41"/>
      <c r="AA402" s="41"/>
      <c r="AB402" s="41"/>
      <c r="AC402" s="41"/>
    </row>
    <row r="403" ht="15.75" customHeight="1">
      <c r="A403" s="82" t="s">
        <v>122</v>
      </c>
      <c r="B403" s="82" t="s">
        <v>2122</v>
      </c>
      <c r="C403" s="82" t="s">
        <v>77</v>
      </c>
      <c r="D403" s="82" t="s">
        <v>1718</v>
      </c>
      <c r="E403" s="82" t="s">
        <v>1719</v>
      </c>
      <c r="F403" s="82" t="s">
        <v>1730</v>
      </c>
      <c r="G403" s="82" t="s">
        <v>1721</v>
      </c>
      <c r="H403" s="82" t="s">
        <v>1722</v>
      </c>
      <c r="I403" s="41"/>
      <c r="J403" s="82" t="s">
        <v>1723</v>
      </c>
      <c r="K403" s="82" t="s">
        <v>1724</v>
      </c>
      <c r="L403" s="82" t="s">
        <v>2089</v>
      </c>
      <c r="M403" s="83" t="s">
        <v>2123</v>
      </c>
      <c r="N403" s="74" t="b">
        <v>0</v>
      </c>
      <c r="O403" s="74" t="b">
        <v>0</v>
      </c>
      <c r="P403" s="74" t="b">
        <v>0</v>
      </c>
      <c r="Q403" s="82" t="s">
        <v>319</v>
      </c>
      <c r="R403" s="83" t="s">
        <v>2076</v>
      </c>
      <c r="S403" s="82" t="s">
        <v>1728</v>
      </c>
      <c r="T403" s="41"/>
      <c r="U403" s="41"/>
      <c r="V403" s="41"/>
      <c r="W403" s="41"/>
      <c r="X403" s="41"/>
      <c r="Y403" s="41"/>
      <c r="Z403" s="41"/>
      <c r="AA403" s="41"/>
      <c r="AB403" s="41"/>
      <c r="AC403" s="41"/>
    </row>
    <row r="404" ht="15.75" customHeight="1">
      <c r="A404" s="82" t="s">
        <v>122</v>
      </c>
      <c r="B404" s="82" t="s">
        <v>2124</v>
      </c>
      <c r="C404" s="82" t="s">
        <v>77</v>
      </c>
      <c r="D404" s="82" t="s">
        <v>1718</v>
      </c>
      <c r="E404" s="82" t="s">
        <v>1719</v>
      </c>
      <c r="F404" s="82" t="s">
        <v>1730</v>
      </c>
      <c r="G404" s="82" t="s">
        <v>1721</v>
      </c>
      <c r="H404" s="82" t="s">
        <v>1722</v>
      </c>
      <c r="I404" s="41"/>
      <c r="J404" s="82" t="s">
        <v>1723</v>
      </c>
      <c r="K404" s="82" t="s">
        <v>1724</v>
      </c>
      <c r="L404" s="82" t="s">
        <v>2089</v>
      </c>
      <c r="M404" s="83" t="s">
        <v>2125</v>
      </c>
      <c r="N404" s="74" t="b">
        <v>0</v>
      </c>
      <c r="O404" s="74" t="b">
        <v>0</v>
      </c>
      <c r="P404" s="74" t="b">
        <v>0</v>
      </c>
      <c r="Q404" s="82" t="s">
        <v>319</v>
      </c>
      <c r="R404" s="83" t="s">
        <v>2076</v>
      </c>
      <c r="S404" s="82" t="s">
        <v>1728</v>
      </c>
      <c r="T404" s="41"/>
      <c r="U404" s="41"/>
      <c r="V404" s="41"/>
      <c r="W404" s="41"/>
      <c r="X404" s="41"/>
      <c r="Y404" s="41"/>
      <c r="Z404" s="41"/>
      <c r="AA404" s="41"/>
      <c r="AB404" s="41"/>
      <c r="AC404" s="41"/>
    </row>
    <row r="405" ht="15.75" customHeight="1">
      <c r="A405" s="82" t="s">
        <v>122</v>
      </c>
      <c r="B405" s="82" t="s">
        <v>2126</v>
      </c>
      <c r="C405" s="82" t="s">
        <v>77</v>
      </c>
      <c r="D405" s="82" t="s">
        <v>1718</v>
      </c>
      <c r="E405" s="82" t="s">
        <v>1719</v>
      </c>
      <c r="F405" s="82" t="s">
        <v>1730</v>
      </c>
      <c r="G405" s="82" t="s">
        <v>1721</v>
      </c>
      <c r="H405" s="82" t="s">
        <v>1722</v>
      </c>
      <c r="I405" s="41"/>
      <c r="J405" s="82" t="s">
        <v>1723</v>
      </c>
      <c r="K405" s="82" t="s">
        <v>1724</v>
      </c>
      <c r="L405" s="82" t="s">
        <v>2089</v>
      </c>
      <c r="M405" s="83" t="s">
        <v>2127</v>
      </c>
      <c r="N405" s="74" t="b">
        <v>0</v>
      </c>
      <c r="O405" s="74" t="b">
        <v>0</v>
      </c>
      <c r="P405" s="74" t="b">
        <v>0</v>
      </c>
      <c r="Q405" s="82" t="s">
        <v>319</v>
      </c>
      <c r="R405" s="83" t="s">
        <v>2076</v>
      </c>
      <c r="S405" s="82" t="s">
        <v>1728</v>
      </c>
      <c r="T405" s="41"/>
      <c r="U405" s="41"/>
      <c r="V405" s="41"/>
      <c r="W405" s="41"/>
      <c r="X405" s="41"/>
      <c r="Y405" s="41"/>
      <c r="Z405" s="41"/>
      <c r="AA405" s="41"/>
      <c r="AB405" s="41"/>
      <c r="AC405" s="41"/>
    </row>
    <row r="406" ht="15.75" customHeight="1">
      <c r="A406" s="82" t="s">
        <v>122</v>
      </c>
      <c r="B406" s="82" t="s">
        <v>2128</v>
      </c>
      <c r="C406" s="82" t="s">
        <v>77</v>
      </c>
      <c r="D406" s="82" t="s">
        <v>1718</v>
      </c>
      <c r="E406" s="82" t="s">
        <v>1719</v>
      </c>
      <c r="F406" s="82" t="s">
        <v>1754</v>
      </c>
      <c r="G406" s="82" t="s">
        <v>1721</v>
      </c>
      <c r="H406" s="82" t="s">
        <v>1722</v>
      </c>
      <c r="I406" s="41"/>
      <c r="J406" s="82" t="s">
        <v>1723</v>
      </c>
      <c r="K406" s="82" t="s">
        <v>1724</v>
      </c>
      <c r="L406" s="82" t="s">
        <v>2129</v>
      </c>
      <c r="M406" s="83" t="s">
        <v>2130</v>
      </c>
      <c r="N406" s="74" t="b">
        <v>0</v>
      </c>
      <c r="O406" s="74" t="b">
        <v>0</v>
      </c>
      <c r="P406" s="74" t="b">
        <v>0</v>
      </c>
      <c r="Q406" s="82" t="s">
        <v>319</v>
      </c>
      <c r="R406" s="83" t="s">
        <v>2076</v>
      </c>
      <c r="S406" s="82" t="s">
        <v>1728</v>
      </c>
      <c r="T406" s="41"/>
      <c r="U406" s="41"/>
      <c r="V406" s="41"/>
      <c r="W406" s="41"/>
      <c r="X406" s="41"/>
      <c r="Y406" s="41"/>
      <c r="Z406" s="41"/>
      <c r="AA406" s="41"/>
      <c r="AB406" s="41"/>
      <c r="AC406" s="41"/>
    </row>
    <row r="407" ht="15.75" customHeight="1">
      <c r="A407" s="82" t="s">
        <v>122</v>
      </c>
      <c r="B407" s="82" t="s">
        <v>2131</v>
      </c>
      <c r="C407" s="82" t="s">
        <v>77</v>
      </c>
      <c r="D407" s="82" t="s">
        <v>1718</v>
      </c>
      <c r="E407" s="82" t="s">
        <v>1719</v>
      </c>
      <c r="F407" s="82" t="s">
        <v>1730</v>
      </c>
      <c r="G407" s="82" t="s">
        <v>1721</v>
      </c>
      <c r="H407" s="82" t="s">
        <v>1722</v>
      </c>
      <c r="I407" s="41"/>
      <c r="J407" s="82" t="s">
        <v>1723</v>
      </c>
      <c r="K407" s="82" t="s">
        <v>1724</v>
      </c>
      <c r="L407" s="82" t="s">
        <v>2089</v>
      </c>
      <c r="M407" s="83" t="s">
        <v>2132</v>
      </c>
      <c r="N407" s="74" t="b">
        <v>0</v>
      </c>
      <c r="O407" s="74" t="b">
        <v>0</v>
      </c>
      <c r="P407" s="74" t="b">
        <v>0</v>
      </c>
      <c r="Q407" s="82" t="s">
        <v>319</v>
      </c>
      <c r="R407" s="83" t="s">
        <v>2076</v>
      </c>
      <c r="S407" s="82" t="s">
        <v>1728</v>
      </c>
      <c r="T407" s="41"/>
      <c r="U407" s="41"/>
      <c r="V407" s="41"/>
      <c r="W407" s="41"/>
      <c r="X407" s="41"/>
      <c r="Y407" s="41"/>
      <c r="Z407" s="41"/>
      <c r="AA407" s="41"/>
      <c r="AB407" s="41"/>
      <c r="AC407" s="41"/>
    </row>
    <row r="408" ht="15.75" customHeight="1">
      <c r="A408" s="82" t="s">
        <v>122</v>
      </c>
      <c r="B408" s="82" t="s">
        <v>2133</v>
      </c>
      <c r="C408" s="82" t="s">
        <v>77</v>
      </c>
      <c r="D408" s="82" t="s">
        <v>1718</v>
      </c>
      <c r="E408" s="82" t="s">
        <v>1719</v>
      </c>
      <c r="F408" s="82" t="s">
        <v>1720</v>
      </c>
      <c r="G408" s="82" t="s">
        <v>1721</v>
      </c>
      <c r="H408" s="82" t="s">
        <v>1722</v>
      </c>
      <c r="I408" s="41"/>
      <c r="J408" s="82" t="s">
        <v>1723</v>
      </c>
      <c r="K408" s="82" t="s">
        <v>1724</v>
      </c>
      <c r="L408" s="82" t="s">
        <v>2134</v>
      </c>
      <c r="M408" s="83" t="s">
        <v>2135</v>
      </c>
      <c r="N408" s="74" t="b">
        <v>0</v>
      </c>
      <c r="O408" s="74" t="b">
        <v>0</v>
      </c>
      <c r="P408" s="74" t="b">
        <v>0</v>
      </c>
      <c r="Q408" s="82" t="s">
        <v>319</v>
      </c>
      <c r="R408" s="83" t="s">
        <v>2076</v>
      </c>
      <c r="S408" s="82" t="s">
        <v>1728</v>
      </c>
      <c r="T408" s="41"/>
      <c r="U408" s="41"/>
      <c r="V408" s="41"/>
      <c r="W408" s="41"/>
      <c r="X408" s="41"/>
      <c r="Y408" s="41"/>
      <c r="Z408" s="41"/>
      <c r="AA408" s="41"/>
      <c r="AB408" s="41"/>
      <c r="AC408" s="41"/>
    </row>
    <row r="409" ht="15.75" customHeight="1">
      <c r="A409" s="82" t="s">
        <v>122</v>
      </c>
      <c r="B409" s="82" t="s">
        <v>2136</v>
      </c>
      <c r="C409" s="82" t="s">
        <v>77</v>
      </c>
      <c r="D409" s="82" t="s">
        <v>1718</v>
      </c>
      <c r="E409" s="82" t="s">
        <v>1719</v>
      </c>
      <c r="F409" s="82" t="s">
        <v>1730</v>
      </c>
      <c r="G409" s="82" t="s">
        <v>1721</v>
      </c>
      <c r="H409" s="82" t="s">
        <v>1722</v>
      </c>
      <c r="I409" s="41"/>
      <c r="J409" s="82" t="s">
        <v>1723</v>
      </c>
      <c r="K409" s="82" t="s">
        <v>1724</v>
      </c>
      <c r="L409" s="82" t="s">
        <v>2137</v>
      </c>
      <c r="M409" s="83" t="s">
        <v>2138</v>
      </c>
      <c r="N409" s="74" t="b">
        <v>0</v>
      </c>
      <c r="O409" s="74" t="b">
        <v>0</v>
      </c>
      <c r="P409" s="74" t="b">
        <v>0</v>
      </c>
      <c r="Q409" s="82" t="s">
        <v>319</v>
      </c>
      <c r="R409" s="83" t="s">
        <v>2113</v>
      </c>
      <c r="S409" s="82" t="s">
        <v>1728</v>
      </c>
      <c r="T409" s="41"/>
      <c r="U409" s="41"/>
      <c r="V409" s="41"/>
      <c r="W409" s="41"/>
      <c r="X409" s="41"/>
      <c r="Y409" s="41"/>
      <c r="Z409" s="41"/>
      <c r="AA409" s="41"/>
      <c r="AB409" s="41"/>
      <c r="AC409" s="41"/>
    </row>
    <row r="410" ht="15.75" customHeight="1">
      <c r="A410" s="82" t="s">
        <v>122</v>
      </c>
      <c r="B410" s="82" t="s">
        <v>2139</v>
      </c>
      <c r="C410" s="82" t="s">
        <v>77</v>
      </c>
      <c r="D410" s="82" t="s">
        <v>1718</v>
      </c>
      <c r="E410" s="82" t="s">
        <v>1719</v>
      </c>
      <c r="F410" s="82" t="s">
        <v>1720</v>
      </c>
      <c r="G410" s="82" t="s">
        <v>1721</v>
      </c>
      <c r="H410" s="82" t="s">
        <v>1722</v>
      </c>
      <c r="I410" s="41"/>
      <c r="J410" s="82" t="s">
        <v>1723</v>
      </c>
      <c r="K410" s="82" t="s">
        <v>1724</v>
      </c>
      <c r="L410" s="82" t="s">
        <v>2078</v>
      </c>
      <c r="M410" s="83" t="s">
        <v>2140</v>
      </c>
      <c r="N410" s="74" t="b">
        <v>0</v>
      </c>
      <c r="O410" s="74" t="b">
        <v>0</v>
      </c>
      <c r="P410" s="74" t="b">
        <v>0</v>
      </c>
      <c r="Q410" s="82" t="s">
        <v>319</v>
      </c>
      <c r="R410" s="83" t="s">
        <v>2076</v>
      </c>
      <c r="S410" s="82" t="s">
        <v>1728</v>
      </c>
      <c r="T410" s="41"/>
      <c r="U410" s="41"/>
      <c r="V410" s="41"/>
      <c r="W410" s="41"/>
      <c r="X410" s="41"/>
      <c r="Y410" s="41"/>
      <c r="Z410" s="41"/>
      <c r="AA410" s="41"/>
      <c r="AB410" s="41"/>
      <c r="AC410" s="41"/>
    </row>
    <row r="411" ht="15.75" customHeight="1">
      <c r="A411" s="82" t="s">
        <v>122</v>
      </c>
      <c r="B411" s="82" t="s">
        <v>2141</v>
      </c>
      <c r="C411" s="82" t="s">
        <v>77</v>
      </c>
      <c r="D411" s="82" t="s">
        <v>1718</v>
      </c>
      <c r="E411" s="82" t="s">
        <v>1719</v>
      </c>
      <c r="F411" s="82" t="s">
        <v>1730</v>
      </c>
      <c r="G411" s="82" t="s">
        <v>1721</v>
      </c>
      <c r="H411" s="82" t="s">
        <v>1722</v>
      </c>
      <c r="I411" s="41"/>
      <c r="J411" s="82" t="s">
        <v>1723</v>
      </c>
      <c r="K411" s="82" t="s">
        <v>1724</v>
      </c>
      <c r="L411" s="82" t="s">
        <v>2142</v>
      </c>
      <c r="M411" s="83" t="s">
        <v>2143</v>
      </c>
      <c r="N411" s="74" t="b">
        <v>0</v>
      </c>
      <c r="O411" s="74" t="b">
        <v>0</v>
      </c>
      <c r="P411" s="74" t="b">
        <v>0</v>
      </c>
      <c r="Q411" s="82" t="s">
        <v>319</v>
      </c>
      <c r="R411" s="83" t="s">
        <v>2076</v>
      </c>
      <c r="S411" s="82" t="s">
        <v>1728</v>
      </c>
      <c r="T411" s="41"/>
      <c r="U411" s="41"/>
      <c r="V411" s="41"/>
      <c r="W411" s="41"/>
      <c r="X411" s="41"/>
      <c r="Y411" s="41"/>
      <c r="Z411" s="41"/>
      <c r="AA411" s="41"/>
      <c r="AB411" s="41"/>
      <c r="AC411" s="41"/>
    </row>
    <row r="412" ht="15.75" customHeight="1">
      <c r="A412" s="82" t="s">
        <v>122</v>
      </c>
      <c r="B412" s="82" t="s">
        <v>2144</v>
      </c>
      <c r="C412" s="82" t="s">
        <v>77</v>
      </c>
      <c r="D412" s="82" t="s">
        <v>1718</v>
      </c>
      <c r="E412" s="82" t="s">
        <v>1719</v>
      </c>
      <c r="F412" s="82" t="s">
        <v>1720</v>
      </c>
      <c r="G412" s="82" t="s">
        <v>1721</v>
      </c>
      <c r="H412" s="82" t="s">
        <v>1722</v>
      </c>
      <c r="I412" s="41"/>
      <c r="J412" s="82" t="s">
        <v>1723</v>
      </c>
      <c r="K412" s="82" t="s">
        <v>1724</v>
      </c>
      <c r="L412" s="82" t="s">
        <v>2078</v>
      </c>
      <c r="M412" s="83" t="s">
        <v>2145</v>
      </c>
      <c r="N412" s="74" t="b">
        <v>0</v>
      </c>
      <c r="O412" s="74" t="b">
        <v>0</v>
      </c>
      <c r="P412" s="74" t="b">
        <v>0</v>
      </c>
      <c r="Q412" s="82" t="s">
        <v>319</v>
      </c>
      <c r="R412" s="83" t="s">
        <v>2076</v>
      </c>
      <c r="S412" s="82" t="s">
        <v>1728</v>
      </c>
      <c r="T412" s="41"/>
      <c r="U412" s="41"/>
      <c r="V412" s="41"/>
      <c r="W412" s="41"/>
      <c r="X412" s="41"/>
      <c r="Y412" s="41"/>
      <c r="Z412" s="41"/>
      <c r="AA412" s="41"/>
      <c r="AB412" s="41"/>
      <c r="AC412" s="41"/>
    </row>
    <row r="413" ht="15.75" customHeight="1">
      <c r="A413" s="82" t="s">
        <v>122</v>
      </c>
      <c r="B413" s="82" t="s">
        <v>2146</v>
      </c>
      <c r="C413" s="82" t="s">
        <v>150</v>
      </c>
      <c r="D413" s="82" t="s">
        <v>1718</v>
      </c>
      <c r="E413" s="82" t="s">
        <v>1719</v>
      </c>
      <c r="F413" s="82" t="s">
        <v>1720</v>
      </c>
      <c r="G413" s="82" t="s">
        <v>1721</v>
      </c>
      <c r="H413" s="82" t="s">
        <v>1722</v>
      </c>
      <c r="I413" s="41"/>
      <c r="J413" s="82" t="s">
        <v>1723</v>
      </c>
      <c r="K413" s="82" t="s">
        <v>1724</v>
      </c>
      <c r="L413" s="82" t="s">
        <v>2147</v>
      </c>
      <c r="M413" s="83" t="s">
        <v>2148</v>
      </c>
      <c r="N413" s="74" t="b">
        <v>0</v>
      </c>
      <c r="O413" s="74" t="b">
        <v>0</v>
      </c>
      <c r="P413" s="74" t="b">
        <v>0</v>
      </c>
      <c r="Q413" s="82" t="s">
        <v>319</v>
      </c>
      <c r="R413" s="83" t="s">
        <v>2149</v>
      </c>
      <c r="S413" s="82" t="s">
        <v>1728</v>
      </c>
      <c r="T413" s="41"/>
      <c r="U413" s="41"/>
      <c r="V413" s="41"/>
      <c r="W413" s="41"/>
      <c r="X413" s="41"/>
      <c r="Y413" s="41"/>
      <c r="Z413" s="41"/>
      <c r="AA413" s="41"/>
      <c r="AB413" s="41"/>
      <c r="AC413" s="41"/>
    </row>
    <row r="414" ht="15.75" customHeight="1">
      <c r="A414" s="82" t="s">
        <v>122</v>
      </c>
      <c r="B414" s="82" t="s">
        <v>2150</v>
      </c>
      <c r="C414" s="82" t="s">
        <v>150</v>
      </c>
      <c r="D414" s="82" t="s">
        <v>1718</v>
      </c>
      <c r="E414" s="82" t="s">
        <v>1719</v>
      </c>
      <c r="F414" s="82" t="s">
        <v>1720</v>
      </c>
      <c r="G414" s="82" t="s">
        <v>1721</v>
      </c>
      <c r="H414" s="82" t="s">
        <v>1722</v>
      </c>
      <c r="I414" s="41"/>
      <c r="J414" s="82" t="s">
        <v>1723</v>
      </c>
      <c r="K414" s="82" t="s">
        <v>1724</v>
      </c>
      <c r="L414" s="82" t="s">
        <v>2151</v>
      </c>
      <c r="M414" s="83" t="s">
        <v>2152</v>
      </c>
      <c r="N414" s="74" t="b">
        <v>0</v>
      </c>
      <c r="O414" s="74" t="b">
        <v>0</v>
      </c>
      <c r="P414" s="74" t="b">
        <v>0</v>
      </c>
      <c r="Q414" s="82" t="s">
        <v>319</v>
      </c>
      <c r="R414" s="83" t="s">
        <v>2149</v>
      </c>
      <c r="S414" s="82" t="s">
        <v>1728</v>
      </c>
      <c r="T414" s="41"/>
      <c r="U414" s="41"/>
      <c r="V414" s="41"/>
      <c r="W414" s="41"/>
      <c r="X414" s="41"/>
      <c r="Y414" s="41"/>
      <c r="Z414" s="41"/>
      <c r="AA414" s="41"/>
      <c r="AB414" s="41"/>
      <c r="AC414" s="41"/>
    </row>
    <row r="415" ht="15.75" customHeight="1">
      <c r="A415" s="82" t="s">
        <v>122</v>
      </c>
      <c r="B415" s="82" t="s">
        <v>2153</v>
      </c>
      <c r="C415" s="82" t="s">
        <v>150</v>
      </c>
      <c r="D415" s="82" t="s">
        <v>1718</v>
      </c>
      <c r="E415" s="82" t="s">
        <v>1719</v>
      </c>
      <c r="F415" s="82" t="s">
        <v>1720</v>
      </c>
      <c r="G415" s="82" t="s">
        <v>1721</v>
      </c>
      <c r="H415" s="82" t="s">
        <v>1722</v>
      </c>
      <c r="I415" s="41"/>
      <c r="J415" s="82" t="s">
        <v>1723</v>
      </c>
      <c r="K415" s="82" t="s">
        <v>1724</v>
      </c>
      <c r="L415" s="82" t="s">
        <v>2154</v>
      </c>
      <c r="M415" s="83" t="s">
        <v>2155</v>
      </c>
      <c r="N415" s="74" t="b">
        <v>0</v>
      </c>
      <c r="O415" s="74" t="b">
        <v>0</v>
      </c>
      <c r="P415" s="74" t="b">
        <v>0</v>
      </c>
      <c r="Q415" s="82" t="s">
        <v>319</v>
      </c>
      <c r="R415" s="83" t="s">
        <v>2149</v>
      </c>
      <c r="S415" s="82" t="s">
        <v>1728</v>
      </c>
      <c r="T415" s="41"/>
      <c r="U415" s="41"/>
      <c r="V415" s="41"/>
      <c r="W415" s="41"/>
      <c r="X415" s="41"/>
      <c r="Y415" s="41"/>
      <c r="Z415" s="41"/>
      <c r="AA415" s="41"/>
      <c r="AB415" s="41"/>
      <c r="AC415" s="41"/>
    </row>
    <row r="416" ht="15.75" customHeight="1">
      <c r="A416" s="82" t="s">
        <v>122</v>
      </c>
      <c r="B416" s="82" t="s">
        <v>2156</v>
      </c>
      <c r="C416" s="82" t="s">
        <v>150</v>
      </c>
      <c r="D416" s="82" t="s">
        <v>1718</v>
      </c>
      <c r="E416" s="82" t="s">
        <v>1719</v>
      </c>
      <c r="F416" s="82" t="s">
        <v>1730</v>
      </c>
      <c r="G416" s="82" t="s">
        <v>1721</v>
      </c>
      <c r="H416" s="82" t="s">
        <v>1722</v>
      </c>
      <c r="I416" s="41"/>
      <c r="J416" s="82" t="s">
        <v>1723</v>
      </c>
      <c r="K416" s="82" t="s">
        <v>1724</v>
      </c>
      <c r="L416" s="82" t="s">
        <v>2157</v>
      </c>
      <c r="M416" s="83" t="s">
        <v>2158</v>
      </c>
      <c r="N416" s="74" t="b">
        <v>0</v>
      </c>
      <c r="O416" s="74" t="b">
        <v>0</v>
      </c>
      <c r="P416" s="74" t="b">
        <v>0</v>
      </c>
      <c r="Q416" s="82" t="s">
        <v>319</v>
      </c>
      <c r="R416" s="83" t="s">
        <v>2149</v>
      </c>
      <c r="S416" s="82" t="s">
        <v>1728</v>
      </c>
      <c r="T416" s="41"/>
      <c r="U416" s="41"/>
      <c r="V416" s="41"/>
      <c r="W416" s="41"/>
      <c r="X416" s="41"/>
      <c r="Y416" s="41"/>
      <c r="Z416" s="41"/>
      <c r="AA416" s="41"/>
      <c r="AB416" s="41"/>
      <c r="AC416" s="41"/>
    </row>
    <row r="417" ht="15.75" customHeight="1">
      <c r="A417" s="82" t="s">
        <v>122</v>
      </c>
      <c r="B417" s="82" t="s">
        <v>2159</v>
      </c>
      <c r="C417" s="82" t="s">
        <v>150</v>
      </c>
      <c r="D417" s="82" t="s">
        <v>1718</v>
      </c>
      <c r="E417" s="82" t="s">
        <v>1719</v>
      </c>
      <c r="F417" s="82" t="s">
        <v>1730</v>
      </c>
      <c r="G417" s="82" t="s">
        <v>1721</v>
      </c>
      <c r="H417" s="82" t="s">
        <v>1722</v>
      </c>
      <c r="I417" s="41"/>
      <c r="J417" s="82" t="s">
        <v>1723</v>
      </c>
      <c r="K417" s="82" t="s">
        <v>1724</v>
      </c>
      <c r="L417" s="82" t="s">
        <v>2157</v>
      </c>
      <c r="M417" s="83" t="s">
        <v>2160</v>
      </c>
      <c r="N417" s="74" t="b">
        <v>0</v>
      </c>
      <c r="O417" s="74" t="b">
        <v>0</v>
      </c>
      <c r="P417" s="74" t="b">
        <v>0</v>
      </c>
      <c r="Q417" s="82" t="s">
        <v>319</v>
      </c>
      <c r="R417" s="83" t="s">
        <v>2149</v>
      </c>
      <c r="S417" s="82" t="s">
        <v>1728</v>
      </c>
      <c r="T417" s="41"/>
      <c r="U417" s="41"/>
      <c r="V417" s="41"/>
      <c r="W417" s="41"/>
      <c r="X417" s="41"/>
      <c r="Y417" s="41"/>
      <c r="Z417" s="41"/>
      <c r="AA417" s="41"/>
      <c r="AB417" s="41"/>
      <c r="AC417" s="41"/>
    </row>
    <row r="418" ht="15.75" customHeight="1">
      <c r="A418" s="82" t="s">
        <v>122</v>
      </c>
      <c r="B418" s="82" t="s">
        <v>2161</v>
      </c>
      <c r="C418" s="82" t="s">
        <v>150</v>
      </c>
      <c r="D418" s="82" t="s">
        <v>1718</v>
      </c>
      <c r="E418" s="82" t="s">
        <v>1719</v>
      </c>
      <c r="F418" s="82" t="s">
        <v>1720</v>
      </c>
      <c r="G418" s="82" t="s">
        <v>1721</v>
      </c>
      <c r="H418" s="82" t="s">
        <v>1722</v>
      </c>
      <c r="I418" s="41"/>
      <c r="J418" s="82" t="s">
        <v>1723</v>
      </c>
      <c r="K418" s="82" t="s">
        <v>1724</v>
      </c>
      <c r="L418" s="82" t="s">
        <v>2162</v>
      </c>
      <c r="M418" s="83" t="s">
        <v>2163</v>
      </c>
      <c r="N418" s="74" t="b">
        <v>0</v>
      </c>
      <c r="O418" s="74" t="b">
        <v>0</v>
      </c>
      <c r="P418" s="74" t="b">
        <v>0</v>
      </c>
      <c r="Q418" s="82" t="s">
        <v>319</v>
      </c>
      <c r="R418" s="83" t="s">
        <v>2149</v>
      </c>
      <c r="S418" s="82" t="s">
        <v>1728</v>
      </c>
      <c r="T418" s="41"/>
      <c r="U418" s="41"/>
      <c r="V418" s="41"/>
      <c r="W418" s="41"/>
      <c r="X418" s="41"/>
      <c r="Y418" s="41"/>
      <c r="Z418" s="41"/>
      <c r="AA418" s="41"/>
      <c r="AB418" s="41"/>
      <c r="AC418" s="41"/>
    </row>
    <row r="419" ht="15.75" customHeight="1">
      <c r="A419" s="82" t="s">
        <v>122</v>
      </c>
      <c r="B419" s="82" t="s">
        <v>2164</v>
      </c>
      <c r="C419" s="82" t="s">
        <v>150</v>
      </c>
      <c r="D419" s="82" t="s">
        <v>1718</v>
      </c>
      <c r="E419" s="82" t="s">
        <v>1719</v>
      </c>
      <c r="F419" s="82" t="s">
        <v>1720</v>
      </c>
      <c r="G419" s="82" t="s">
        <v>1721</v>
      </c>
      <c r="H419" s="82" t="s">
        <v>1722</v>
      </c>
      <c r="I419" s="41"/>
      <c r="J419" s="82" t="s">
        <v>1723</v>
      </c>
      <c r="K419" s="82" t="s">
        <v>1724</v>
      </c>
      <c r="L419" s="82" t="s">
        <v>2165</v>
      </c>
      <c r="M419" s="83" t="s">
        <v>2166</v>
      </c>
      <c r="N419" s="74" t="b">
        <v>0</v>
      </c>
      <c r="O419" s="74" t="b">
        <v>0</v>
      </c>
      <c r="P419" s="74" t="b">
        <v>0</v>
      </c>
      <c r="Q419" s="82" t="s">
        <v>319</v>
      </c>
      <c r="R419" s="83" t="s">
        <v>2149</v>
      </c>
      <c r="S419" s="82" t="s">
        <v>1728</v>
      </c>
      <c r="T419" s="41"/>
      <c r="U419" s="41"/>
      <c r="V419" s="41"/>
      <c r="W419" s="41"/>
      <c r="X419" s="41"/>
      <c r="Y419" s="41"/>
      <c r="Z419" s="41"/>
      <c r="AA419" s="41"/>
      <c r="AB419" s="41"/>
      <c r="AC419" s="41"/>
    </row>
    <row r="420" ht="15.75" customHeight="1">
      <c r="A420" s="82" t="s">
        <v>122</v>
      </c>
      <c r="B420" s="82" t="s">
        <v>2167</v>
      </c>
      <c r="C420" s="82" t="s">
        <v>150</v>
      </c>
      <c r="D420" s="82" t="s">
        <v>1718</v>
      </c>
      <c r="E420" s="82" t="s">
        <v>1719</v>
      </c>
      <c r="F420" s="82" t="s">
        <v>1720</v>
      </c>
      <c r="G420" s="82" t="s">
        <v>1721</v>
      </c>
      <c r="H420" s="82" t="s">
        <v>1722</v>
      </c>
      <c r="I420" s="41"/>
      <c r="J420" s="82" t="s">
        <v>1723</v>
      </c>
      <c r="K420" s="82" t="s">
        <v>1724</v>
      </c>
      <c r="L420" s="82" t="s">
        <v>2168</v>
      </c>
      <c r="M420" s="83" t="s">
        <v>2169</v>
      </c>
      <c r="N420" s="74" t="b">
        <v>0</v>
      </c>
      <c r="O420" s="74" t="b">
        <v>0</v>
      </c>
      <c r="P420" s="74" t="b">
        <v>0</v>
      </c>
      <c r="Q420" s="82" t="s">
        <v>319</v>
      </c>
      <c r="R420" s="83" t="s">
        <v>2149</v>
      </c>
      <c r="S420" s="82" t="s">
        <v>1728</v>
      </c>
      <c r="T420" s="41"/>
      <c r="U420" s="41"/>
      <c r="V420" s="41"/>
      <c r="W420" s="41"/>
      <c r="X420" s="41"/>
      <c r="Y420" s="41"/>
      <c r="Z420" s="41"/>
      <c r="AA420" s="41"/>
      <c r="AB420" s="41"/>
      <c r="AC420" s="41"/>
    </row>
    <row r="421" ht="15.75" customHeight="1">
      <c r="A421" s="82" t="s">
        <v>122</v>
      </c>
      <c r="B421" s="82" t="s">
        <v>2170</v>
      </c>
      <c r="C421" s="82" t="s">
        <v>152</v>
      </c>
      <c r="D421" s="82" t="s">
        <v>1718</v>
      </c>
      <c r="E421" s="82" t="s">
        <v>1719</v>
      </c>
      <c r="F421" s="82" t="s">
        <v>1730</v>
      </c>
      <c r="G421" s="82" t="s">
        <v>1721</v>
      </c>
      <c r="H421" s="82" t="s">
        <v>1722</v>
      </c>
      <c r="I421" s="41"/>
      <c r="J421" s="82" t="s">
        <v>1723</v>
      </c>
      <c r="K421" s="82" t="s">
        <v>1724</v>
      </c>
      <c r="L421" s="82" t="s">
        <v>2171</v>
      </c>
      <c r="M421" s="83" t="s">
        <v>2172</v>
      </c>
      <c r="N421" s="74" t="b">
        <v>0</v>
      </c>
      <c r="O421" s="74" t="b">
        <v>0</v>
      </c>
      <c r="P421" s="74" t="b">
        <v>0</v>
      </c>
      <c r="Q421" s="82" t="s">
        <v>319</v>
      </c>
      <c r="R421" s="83" t="s">
        <v>2173</v>
      </c>
      <c r="S421" s="82" t="s">
        <v>1728</v>
      </c>
      <c r="T421" s="41"/>
      <c r="U421" s="41"/>
      <c r="V421" s="41"/>
      <c r="W421" s="41"/>
      <c r="X421" s="41"/>
      <c r="Y421" s="41"/>
      <c r="Z421" s="41"/>
      <c r="AA421" s="41"/>
      <c r="AB421" s="41"/>
      <c r="AC421" s="41"/>
    </row>
    <row r="422" ht="15.75" customHeight="1">
      <c r="A422" s="82" t="s">
        <v>122</v>
      </c>
      <c r="B422" s="82" t="s">
        <v>2174</v>
      </c>
      <c r="C422" s="82" t="s">
        <v>152</v>
      </c>
      <c r="D422" s="82" t="s">
        <v>1718</v>
      </c>
      <c r="E422" s="82" t="s">
        <v>1719</v>
      </c>
      <c r="F422" s="82" t="s">
        <v>1720</v>
      </c>
      <c r="G422" s="82" t="s">
        <v>1721</v>
      </c>
      <c r="H422" s="82" t="s">
        <v>1722</v>
      </c>
      <c r="I422" s="41"/>
      <c r="J422" s="82" t="s">
        <v>1723</v>
      </c>
      <c r="K422" s="82" t="s">
        <v>1724</v>
      </c>
      <c r="L422" s="82" t="s">
        <v>2175</v>
      </c>
      <c r="M422" s="83" t="s">
        <v>2176</v>
      </c>
      <c r="N422" s="74" t="b">
        <v>0</v>
      </c>
      <c r="O422" s="74" t="b">
        <v>0</v>
      </c>
      <c r="P422" s="74" t="b">
        <v>0</v>
      </c>
      <c r="Q422" s="82" t="s">
        <v>319</v>
      </c>
      <c r="R422" s="83" t="s">
        <v>2177</v>
      </c>
      <c r="S422" s="82" t="s">
        <v>1728</v>
      </c>
      <c r="T422" s="41"/>
      <c r="U422" s="41"/>
      <c r="V422" s="41"/>
      <c r="W422" s="41"/>
      <c r="X422" s="41"/>
      <c r="Y422" s="41"/>
      <c r="Z422" s="41"/>
      <c r="AA422" s="41"/>
      <c r="AB422" s="41"/>
      <c r="AC422" s="41"/>
    </row>
    <row r="423" ht="15.75" customHeight="1">
      <c r="A423" s="82" t="s">
        <v>122</v>
      </c>
      <c r="B423" s="82" t="s">
        <v>2178</v>
      </c>
      <c r="C423" s="82" t="s">
        <v>152</v>
      </c>
      <c r="D423" s="82" t="s">
        <v>1718</v>
      </c>
      <c r="E423" s="82" t="s">
        <v>1719</v>
      </c>
      <c r="F423" s="82" t="s">
        <v>1720</v>
      </c>
      <c r="G423" s="82" t="s">
        <v>1721</v>
      </c>
      <c r="H423" s="82" t="s">
        <v>1722</v>
      </c>
      <c r="I423" s="41"/>
      <c r="J423" s="82" t="s">
        <v>1723</v>
      </c>
      <c r="K423" s="82" t="s">
        <v>1724</v>
      </c>
      <c r="L423" s="82" t="s">
        <v>2179</v>
      </c>
      <c r="M423" s="83" t="s">
        <v>2180</v>
      </c>
      <c r="N423" s="74" t="b">
        <v>0</v>
      </c>
      <c r="O423" s="74" t="b">
        <v>0</v>
      </c>
      <c r="P423" s="74" t="b">
        <v>0</v>
      </c>
      <c r="Q423" s="82" t="s">
        <v>319</v>
      </c>
      <c r="R423" s="83" t="s">
        <v>2173</v>
      </c>
      <c r="S423" s="82" t="s">
        <v>1728</v>
      </c>
      <c r="T423" s="41"/>
      <c r="U423" s="41"/>
      <c r="V423" s="41"/>
      <c r="W423" s="41"/>
      <c r="X423" s="41"/>
      <c r="Y423" s="41"/>
      <c r="Z423" s="41"/>
      <c r="AA423" s="41"/>
      <c r="AB423" s="41"/>
      <c r="AC423" s="41"/>
    </row>
    <row r="424" ht="15.75" customHeight="1">
      <c r="A424" s="82" t="s">
        <v>122</v>
      </c>
      <c r="B424" s="82" t="s">
        <v>2181</v>
      </c>
      <c r="C424" s="82" t="s">
        <v>152</v>
      </c>
      <c r="D424" s="82" t="s">
        <v>1718</v>
      </c>
      <c r="E424" s="82" t="s">
        <v>1719</v>
      </c>
      <c r="F424" s="82" t="s">
        <v>1720</v>
      </c>
      <c r="G424" s="82" t="s">
        <v>1721</v>
      </c>
      <c r="H424" s="82" t="s">
        <v>1722</v>
      </c>
      <c r="I424" s="41"/>
      <c r="J424" s="82" t="s">
        <v>1723</v>
      </c>
      <c r="K424" s="82" t="s">
        <v>1724</v>
      </c>
      <c r="L424" s="82" t="s">
        <v>2182</v>
      </c>
      <c r="M424" s="83" t="s">
        <v>2183</v>
      </c>
      <c r="N424" s="74" t="b">
        <v>0</v>
      </c>
      <c r="O424" s="74" t="b">
        <v>0</v>
      </c>
      <c r="P424" s="74" t="b">
        <v>0</v>
      </c>
      <c r="Q424" s="82" t="s">
        <v>319</v>
      </c>
      <c r="R424" s="83" t="s">
        <v>2173</v>
      </c>
      <c r="S424" s="82" t="s">
        <v>1728</v>
      </c>
      <c r="T424" s="41"/>
      <c r="U424" s="41"/>
      <c r="V424" s="41"/>
      <c r="W424" s="41"/>
      <c r="X424" s="41"/>
      <c r="Y424" s="41"/>
      <c r="Z424" s="41"/>
      <c r="AA424" s="41"/>
      <c r="AB424" s="41"/>
      <c r="AC424" s="41"/>
    </row>
    <row r="425" ht="15.75" customHeight="1">
      <c r="A425" s="82" t="s">
        <v>122</v>
      </c>
      <c r="B425" s="82" t="s">
        <v>2184</v>
      </c>
      <c r="C425" s="82" t="s">
        <v>152</v>
      </c>
      <c r="D425" s="82" t="s">
        <v>1718</v>
      </c>
      <c r="E425" s="82" t="s">
        <v>1719</v>
      </c>
      <c r="F425" s="82" t="s">
        <v>1754</v>
      </c>
      <c r="G425" s="82" t="s">
        <v>1721</v>
      </c>
      <c r="H425" s="82" t="s">
        <v>1722</v>
      </c>
      <c r="I425" s="41"/>
      <c r="J425" s="82" t="s">
        <v>1723</v>
      </c>
      <c r="K425" s="82" t="s">
        <v>1724</v>
      </c>
      <c r="L425" s="82" t="s">
        <v>2185</v>
      </c>
      <c r="M425" s="83" t="s">
        <v>2186</v>
      </c>
      <c r="N425" s="74" t="b">
        <v>0</v>
      </c>
      <c r="O425" s="74" t="b">
        <v>0</v>
      </c>
      <c r="P425" s="74" t="b">
        <v>0</v>
      </c>
      <c r="Q425" s="82" t="s">
        <v>319</v>
      </c>
      <c r="R425" s="83" t="s">
        <v>2173</v>
      </c>
      <c r="S425" s="82" t="s">
        <v>1728</v>
      </c>
      <c r="T425" s="41"/>
      <c r="U425" s="41"/>
      <c r="V425" s="41"/>
      <c r="W425" s="41"/>
      <c r="X425" s="41"/>
      <c r="Y425" s="41"/>
      <c r="Z425" s="41"/>
      <c r="AA425" s="41"/>
      <c r="AB425" s="41"/>
      <c r="AC425" s="41"/>
    </row>
    <row r="426" ht="15.75" customHeight="1">
      <c r="A426" s="82" t="s">
        <v>122</v>
      </c>
      <c r="B426" s="82" t="s">
        <v>2187</v>
      </c>
      <c r="C426" s="82" t="s">
        <v>152</v>
      </c>
      <c r="D426" s="82" t="s">
        <v>1718</v>
      </c>
      <c r="E426" s="82" t="s">
        <v>1719</v>
      </c>
      <c r="F426" s="82" t="s">
        <v>1730</v>
      </c>
      <c r="G426" s="82" t="s">
        <v>1721</v>
      </c>
      <c r="H426" s="82" t="s">
        <v>1722</v>
      </c>
      <c r="I426" s="41"/>
      <c r="J426" s="82" t="s">
        <v>1723</v>
      </c>
      <c r="K426" s="82" t="s">
        <v>1724</v>
      </c>
      <c r="L426" s="82" t="s">
        <v>2171</v>
      </c>
      <c r="M426" s="83" t="s">
        <v>2188</v>
      </c>
      <c r="N426" s="74" t="b">
        <v>0</v>
      </c>
      <c r="O426" s="74" t="b">
        <v>0</v>
      </c>
      <c r="P426" s="74" t="b">
        <v>0</v>
      </c>
      <c r="Q426" s="82" t="s">
        <v>319</v>
      </c>
      <c r="R426" s="83" t="s">
        <v>2173</v>
      </c>
      <c r="S426" s="82" t="s">
        <v>1728</v>
      </c>
      <c r="T426" s="41"/>
      <c r="U426" s="41"/>
      <c r="V426" s="41"/>
      <c r="W426" s="41"/>
      <c r="X426" s="41"/>
      <c r="Y426" s="41"/>
      <c r="Z426" s="41"/>
      <c r="AA426" s="41"/>
      <c r="AB426" s="41"/>
      <c r="AC426" s="41"/>
    </row>
    <row r="427" ht="15.75" customHeight="1">
      <c r="A427" s="82" t="s">
        <v>122</v>
      </c>
      <c r="B427" s="82" t="s">
        <v>2189</v>
      </c>
      <c r="C427" s="82" t="s">
        <v>152</v>
      </c>
      <c r="D427" s="82" t="s">
        <v>1718</v>
      </c>
      <c r="E427" s="82" t="s">
        <v>1719</v>
      </c>
      <c r="F427" s="82" t="s">
        <v>1720</v>
      </c>
      <c r="G427" s="82" t="s">
        <v>1721</v>
      </c>
      <c r="H427" s="82" t="s">
        <v>1722</v>
      </c>
      <c r="I427" s="41"/>
      <c r="J427" s="82" t="s">
        <v>1723</v>
      </c>
      <c r="K427" s="82" t="s">
        <v>1724</v>
      </c>
      <c r="L427" s="82" t="s">
        <v>2190</v>
      </c>
      <c r="M427" s="83" t="s">
        <v>2191</v>
      </c>
      <c r="N427" s="74" t="b">
        <v>0</v>
      </c>
      <c r="O427" s="74" t="b">
        <v>0</v>
      </c>
      <c r="P427" s="74" t="b">
        <v>0</v>
      </c>
      <c r="Q427" s="82" t="s">
        <v>319</v>
      </c>
      <c r="R427" s="83" t="s">
        <v>2173</v>
      </c>
      <c r="S427" s="82" t="s">
        <v>1728</v>
      </c>
      <c r="T427" s="41"/>
      <c r="U427" s="41"/>
      <c r="V427" s="41"/>
      <c r="W427" s="41"/>
      <c r="X427" s="41"/>
      <c r="Y427" s="41"/>
      <c r="Z427" s="41"/>
      <c r="AA427" s="41"/>
      <c r="AB427" s="41"/>
      <c r="AC427" s="41"/>
    </row>
    <row r="428" ht="15.75" customHeight="1">
      <c r="A428" s="82" t="s">
        <v>122</v>
      </c>
      <c r="B428" s="82" t="s">
        <v>2192</v>
      </c>
      <c r="C428" s="82" t="s">
        <v>152</v>
      </c>
      <c r="D428" s="82" t="s">
        <v>1718</v>
      </c>
      <c r="E428" s="82" t="s">
        <v>1719</v>
      </c>
      <c r="F428" s="82" t="s">
        <v>1720</v>
      </c>
      <c r="G428" s="82" t="s">
        <v>1721</v>
      </c>
      <c r="H428" s="82" t="s">
        <v>1722</v>
      </c>
      <c r="I428" s="41"/>
      <c r="J428" s="82" t="s">
        <v>1723</v>
      </c>
      <c r="K428" s="82" t="s">
        <v>1724</v>
      </c>
      <c r="L428" s="82" t="s">
        <v>2182</v>
      </c>
      <c r="M428" s="83" t="s">
        <v>2193</v>
      </c>
      <c r="N428" s="74" t="b">
        <v>0</v>
      </c>
      <c r="O428" s="74" t="b">
        <v>0</v>
      </c>
      <c r="P428" s="74" t="b">
        <v>0</v>
      </c>
      <c r="Q428" s="82" t="s">
        <v>319</v>
      </c>
      <c r="R428" s="83" t="s">
        <v>2173</v>
      </c>
      <c r="S428" s="82" t="s">
        <v>1728</v>
      </c>
      <c r="T428" s="41"/>
      <c r="U428" s="41"/>
      <c r="V428" s="41"/>
      <c r="W428" s="41"/>
      <c r="X428" s="41"/>
      <c r="Y428" s="41"/>
      <c r="Z428" s="41"/>
      <c r="AA428" s="41"/>
      <c r="AB428" s="41"/>
      <c r="AC428" s="41"/>
    </row>
    <row r="429" ht="15.75" customHeight="1">
      <c r="A429" s="82" t="s">
        <v>122</v>
      </c>
      <c r="B429" s="82" t="s">
        <v>2194</v>
      </c>
      <c r="C429" s="82" t="s">
        <v>152</v>
      </c>
      <c r="D429" s="82" t="s">
        <v>1718</v>
      </c>
      <c r="E429" s="82" t="s">
        <v>1719</v>
      </c>
      <c r="F429" s="82" t="s">
        <v>1720</v>
      </c>
      <c r="G429" s="82" t="s">
        <v>1721</v>
      </c>
      <c r="H429" s="82" t="s">
        <v>1722</v>
      </c>
      <c r="I429" s="41"/>
      <c r="J429" s="82" t="s">
        <v>1723</v>
      </c>
      <c r="K429" s="82" t="s">
        <v>1724</v>
      </c>
      <c r="L429" s="82" t="s">
        <v>2182</v>
      </c>
      <c r="M429" s="83" t="s">
        <v>2195</v>
      </c>
      <c r="N429" s="74" t="b">
        <v>0</v>
      </c>
      <c r="O429" s="74" t="b">
        <v>0</v>
      </c>
      <c r="P429" s="74" t="b">
        <v>0</v>
      </c>
      <c r="Q429" s="82" t="s">
        <v>319</v>
      </c>
      <c r="R429" s="83" t="s">
        <v>2173</v>
      </c>
      <c r="S429" s="82" t="s">
        <v>1728</v>
      </c>
      <c r="T429" s="41"/>
      <c r="U429" s="41"/>
      <c r="V429" s="41"/>
      <c r="W429" s="41"/>
      <c r="X429" s="41"/>
      <c r="Y429" s="41"/>
      <c r="Z429" s="41"/>
      <c r="AA429" s="41"/>
      <c r="AB429" s="41"/>
      <c r="AC429" s="41"/>
    </row>
    <row r="430" ht="15.75" customHeight="1">
      <c r="A430" s="82" t="s">
        <v>122</v>
      </c>
      <c r="B430" s="82" t="s">
        <v>2196</v>
      </c>
      <c r="C430" s="82" t="s">
        <v>152</v>
      </c>
      <c r="D430" s="82" t="s">
        <v>1718</v>
      </c>
      <c r="E430" s="82" t="s">
        <v>1719</v>
      </c>
      <c r="F430" s="82" t="s">
        <v>1730</v>
      </c>
      <c r="G430" s="82" t="s">
        <v>1721</v>
      </c>
      <c r="H430" s="82" t="s">
        <v>1722</v>
      </c>
      <c r="I430" s="41"/>
      <c r="J430" s="82" t="s">
        <v>1723</v>
      </c>
      <c r="K430" s="82" t="s">
        <v>1724</v>
      </c>
      <c r="L430" s="82" t="s">
        <v>2171</v>
      </c>
      <c r="M430" s="83" t="s">
        <v>2197</v>
      </c>
      <c r="N430" s="74" t="b">
        <v>0</v>
      </c>
      <c r="O430" s="74" t="b">
        <v>0</v>
      </c>
      <c r="P430" s="74" t="b">
        <v>0</v>
      </c>
      <c r="Q430" s="82" t="s">
        <v>319</v>
      </c>
      <c r="R430" s="83" t="s">
        <v>2173</v>
      </c>
      <c r="S430" s="82" t="s">
        <v>1728</v>
      </c>
      <c r="T430" s="41"/>
      <c r="U430" s="41"/>
      <c r="V430" s="41"/>
      <c r="W430" s="41"/>
      <c r="X430" s="41"/>
      <c r="Y430" s="41"/>
      <c r="Z430" s="41"/>
      <c r="AA430" s="41"/>
      <c r="AB430" s="41"/>
      <c r="AC430" s="41"/>
    </row>
    <row r="431" ht="15.75" customHeight="1">
      <c r="A431" s="82" t="s">
        <v>122</v>
      </c>
      <c r="B431" s="82" t="s">
        <v>2198</v>
      </c>
      <c r="C431" s="82" t="s">
        <v>152</v>
      </c>
      <c r="D431" s="82" t="s">
        <v>1718</v>
      </c>
      <c r="E431" s="82" t="s">
        <v>1719</v>
      </c>
      <c r="F431" s="82" t="s">
        <v>1730</v>
      </c>
      <c r="G431" s="82" t="s">
        <v>1721</v>
      </c>
      <c r="H431" s="82" t="s">
        <v>1722</v>
      </c>
      <c r="I431" s="41"/>
      <c r="J431" s="82" t="s">
        <v>1723</v>
      </c>
      <c r="K431" s="82" t="s">
        <v>1724</v>
      </c>
      <c r="L431" s="82" t="s">
        <v>2199</v>
      </c>
      <c r="M431" s="83" t="s">
        <v>2200</v>
      </c>
      <c r="N431" s="74" t="b">
        <v>0</v>
      </c>
      <c r="O431" s="74" t="b">
        <v>0</v>
      </c>
      <c r="P431" s="74" t="b">
        <v>0</v>
      </c>
      <c r="Q431" s="82" t="s">
        <v>319</v>
      </c>
      <c r="R431" s="83" t="s">
        <v>2173</v>
      </c>
      <c r="S431" s="82" t="s">
        <v>1728</v>
      </c>
      <c r="T431" s="41"/>
      <c r="U431" s="41"/>
      <c r="V431" s="41"/>
      <c r="W431" s="41"/>
      <c r="X431" s="41"/>
      <c r="Y431" s="41"/>
      <c r="Z431" s="41"/>
      <c r="AA431" s="41"/>
      <c r="AB431" s="41"/>
      <c r="AC431" s="41"/>
    </row>
    <row r="432" ht="15.75" customHeight="1">
      <c r="A432" s="82" t="s">
        <v>122</v>
      </c>
      <c r="B432" s="82" t="s">
        <v>2201</v>
      </c>
      <c r="C432" s="82" t="s">
        <v>152</v>
      </c>
      <c r="D432" s="82" t="s">
        <v>1718</v>
      </c>
      <c r="E432" s="82" t="s">
        <v>1719</v>
      </c>
      <c r="F432" s="82" t="s">
        <v>1720</v>
      </c>
      <c r="G432" s="82" t="s">
        <v>1721</v>
      </c>
      <c r="H432" s="82" t="s">
        <v>1722</v>
      </c>
      <c r="I432" s="41"/>
      <c r="J432" s="82" t="s">
        <v>1723</v>
      </c>
      <c r="K432" s="82" t="s">
        <v>1724</v>
      </c>
      <c r="L432" s="82" t="s">
        <v>2202</v>
      </c>
      <c r="M432" s="83" t="s">
        <v>2203</v>
      </c>
      <c r="N432" s="74" t="b">
        <v>0</v>
      </c>
      <c r="O432" s="74" t="b">
        <v>0</v>
      </c>
      <c r="P432" s="74" t="b">
        <v>0</v>
      </c>
      <c r="Q432" s="82" t="s">
        <v>319</v>
      </c>
      <c r="R432" s="83" t="s">
        <v>2173</v>
      </c>
      <c r="S432" s="82" t="s">
        <v>1728</v>
      </c>
      <c r="T432" s="41"/>
      <c r="U432" s="41"/>
      <c r="V432" s="41"/>
      <c r="W432" s="41"/>
      <c r="X432" s="41"/>
      <c r="Y432" s="41"/>
      <c r="Z432" s="41"/>
      <c r="AA432" s="41"/>
      <c r="AB432" s="41"/>
      <c r="AC432" s="41"/>
    </row>
    <row r="433" ht="15.75" customHeight="1">
      <c r="A433" s="82" t="s">
        <v>122</v>
      </c>
      <c r="B433" s="82" t="s">
        <v>2204</v>
      </c>
      <c r="C433" s="82" t="s">
        <v>152</v>
      </c>
      <c r="D433" s="82" t="s">
        <v>1718</v>
      </c>
      <c r="E433" s="82" t="s">
        <v>1719</v>
      </c>
      <c r="F433" s="82" t="s">
        <v>1730</v>
      </c>
      <c r="G433" s="82" t="s">
        <v>1721</v>
      </c>
      <c r="H433" s="82" t="s">
        <v>1722</v>
      </c>
      <c r="I433" s="41"/>
      <c r="J433" s="82" t="s">
        <v>1723</v>
      </c>
      <c r="K433" s="82" t="s">
        <v>1724</v>
      </c>
      <c r="L433" s="82" t="s">
        <v>2171</v>
      </c>
      <c r="M433" s="83" t="s">
        <v>2205</v>
      </c>
      <c r="N433" s="74" t="b">
        <v>0</v>
      </c>
      <c r="O433" s="74" t="b">
        <v>0</v>
      </c>
      <c r="P433" s="74" t="b">
        <v>0</v>
      </c>
      <c r="Q433" s="82" t="s">
        <v>319</v>
      </c>
      <c r="R433" s="83" t="s">
        <v>2173</v>
      </c>
      <c r="S433" s="82" t="s">
        <v>1728</v>
      </c>
      <c r="T433" s="41"/>
      <c r="U433" s="41"/>
      <c r="V433" s="41"/>
      <c r="W433" s="41"/>
      <c r="X433" s="41"/>
      <c r="Y433" s="41"/>
      <c r="Z433" s="41"/>
      <c r="AA433" s="41"/>
      <c r="AB433" s="41"/>
      <c r="AC433" s="41"/>
    </row>
    <row r="434" ht="15.75" customHeight="1">
      <c r="A434" s="82" t="s">
        <v>122</v>
      </c>
      <c r="B434" s="82" t="s">
        <v>2206</v>
      </c>
      <c r="C434" s="82" t="s">
        <v>152</v>
      </c>
      <c r="D434" s="82" t="s">
        <v>1718</v>
      </c>
      <c r="E434" s="82" t="s">
        <v>1719</v>
      </c>
      <c r="F434" s="82" t="s">
        <v>1730</v>
      </c>
      <c r="G434" s="82" t="s">
        <v>1721</v>
      </c>
      <c r="H434" s="82" t="s">
        <v>1722</v>
      </c>
      <c r="I434" s="41"/>
      <c r="J434" s="82" t="s">
        <v>1723</v>
      </c>
      <c r="K434" s="82" t="s">
        <v>1724</v>
      </c>
      <c r="L434" s="82" t="s">
        <v>2199</v>
      </c>
      <c r="M434" s="83" t="s">
        <v>2207</v>
      </c>
      <c r="N434" s="74" t="b">
        <v>0</v>
      </c>
      <c r="O434" s="74" t="b">
        <v>0</v>
      </c>
      <c r="P434" s="74" t="b">
        <v>0</v>
      </c>
      <c r="Q434" s="82" t="s">
        <v>319</v>
      </c>
      <c r="R434" s="83" t="s">
        <v>2173</v>
      </c>
      <c r="S434" s="82" t="s">
        <v>1728</v>
      </c>
      <c r="T434" s="41"/>
      <c r="U434" s="41"/>
      <c r="V434" s="41"/>
      <c r="W434" s="41"/>
      <c r="X434" s="41"/>
      <c r="Y434" s="41"/>
      <c r="Z434" s="41"/>
      <c r="AA434" s="41"/>
      <c r="AB434" s="41"/>
      <c r="AC434" s="41"/>
    </row>
    <row r="435" ht="15.75" customHeight="1">
      <c r="A435" s="82" t="s">
        <v>122</v>
      </c>
      <c r="B435" s="82" t="s">
        <v>2208</v>
      </c>
      <c r="C435" s="82" t="s">
        <v>152</v>
      </c>
      <c r="D435" s="82" t="s">
        <v>1718</v>
      </c>
      <c r="E435" s="82" t="s">
        <v>1719</v>
      </c>
      <c r="F435" s="82" t="s">
        <v>1730</v>
      </c>
      <c r="G435" s="82" t="s">
        <v>1721</v>
      </c>
      <c r="H435" s="82" t="s">
        <v>1722</v>
      </c>
      <c r="I435" s="41"/>
      <c r="J435" s="82" t="s">
        <v>1723</v>
      </c>
      <c r="K435" s="82" t="s">
        <v>1724</v>
      </c>
      <c r="L435" s="82" t="s">
        <v>2209</v>
      </c>
      <c r="M435" s="83" t="s">
        <v>2210</v>
      </c>
      <c r="N435" s="74" t="b">
        <v>0</v>
      </c>
      <c r="O435" s="74" t="b">
        <v>0</v>
      </c>
      <c r="P435" s="74" t="b">
        <v>0</v>
      </c>
      <c r="Q435" s="82" t="s">
        <v>319</v>
      </c>
      <c r="R435" s="83" t="s">
        <v>2173</v>
      </c>
      <c r="S435" s="82" t="s">
        <v>1728</v>
      </c>
      <c r="T435" s="41"/>
      <c r="U435" s="41"/>
      <c r="V435" s="41"/>
      <c r="W435" s="41"/>
      <c r="X435" s="41"/>
      <c r="Y435" s="41"/>
      <c r="Z435" s="41"/>
      <c r="AA435" s="41"/>
      <c r="AB435" s="41"/>
      <c r="AC435" s="41"/>
    </row>
    <row r="436" ht="15.75" customHeight="1">
      <c r="A436" s="82" t="s">
        <v>122</v>
      </c>
      <c r="B436" s="82" t="s">
        <v>2211</v>
      </c>
      <c r="C436" s="82" t="s">
        <v>152</v>
      </c>
      <c r="D436" s="82" t="s">
        <v>1718</v>
      </c>
      <c r="E436" s="82" t="s">
        <v>1719</v>
      </c>
      <c r="F436" s="82" t="s">
        <v>1720</v>
      </c>
      <c r="G436" s="82" t="s">
        <v>1721</v>
      </c>
      <c r="H436" s="82" t="s">
        <v>1722</v>
      </c>
      <c r="I436" s="41"/>
      <c r="J436" s="82" t="s">
        <v>1723</v>
      </c>
      <c r="K436" s="82" t="s">
        <v>1724</v>
      </c>
      <c r="L436" s="82" t="s">
        <v>2212</v>
      </c>
      <c r="M436" s="83" t="s">
        <v>2213</v>
      </c>
      <c r="N436" s="74" t="b">
        <v>0</v>
      </c>
      <c r="O436" s="74" t="b">
        <v>0</v>
      </c>
      <c r="P436" s="74" t="b">
        <v>0</v>
      </c>
      <c r="Q436" s="82" t="s">
        <v>319</v>
      </c>
      <c r="R436" s="83" t="s">
        <v>2173</v>
      </c>
      <c r="S436" s="82" t="s">
        <v>1728</v>
      </c>
      <c r="T436" s="41"/>
      <c r="U436" s="41"/>
      <c r="V436" s="41"/>
      <c r="W436" s="41"/>
      <c r="X436" s="41"/>
      <c r="Y436" s="41"/>
      <c r="Z436" s="41"/>
      <c r="AA436" s="41"/>
      <c r="AB436" s="41"/>
      <c r="AC436" s="41"/>
    </row>
    <row r="437" ht="15.75" customHeight="1">
      <c r="A437" s="82" t="s">
        <v>122</v>
      </c>
      <c r="B437" s="82" t="s">
        <v>2214</v>
      </c>
      <c r="C437" s="82" t="s">
        <v>152</v>
      </c>
      <c r="D437" s="82" t="s">
        <v>1718</v>
      </c>
      <c r="E437" s="82" t="s">
        <v>1719</v>
      </c>
      <c r="F437" s="82" t="s">
        <v>1720</v>
      </c>
      <c r="G437" s="82" t="s">
        <v>1721</v>
      </c>
      <c r="H437" s="82" t="s">
        <v>1722</v>
      </c>
      <c r="I437" s="41"/>
      <c r="J437" s="82" t="s">
        <v>1723</v>
      </c>
      <c r="K437" s="82" t="s">
        <v>1724</v>
      </c>
      <c r="L437" s="82" t="s">
        <v>2215</v>
      </c>
      <c r="M437" s="83" t="s">
        <v>2216</v>
      </c>
      <c r="N437" s="74" t="b">
        <v>0</v>
      </c>
      <c r="O437" s="74" t="b">
        <v>0</v>
      </c>
      <c r="P437" s="74" t="b">
        <v>0</v>
      </c>
      <c r="Q437" s="82" t="s">
        <v>319</v>
      </c>
      <c r="R437" s="83" t="s">
        <v>2173</v>
      </c>
      <c r="S437" s="82" t="s">
        <v>1728</v>
      </c>
      <c r="T437" s="41"/>
      <c r="U437" s="41"/>
      <c r="V437" s="41"/>
      <c r="W437" s="41"/>
      <c r="X437" s="41"/>
      <c r="Y437" s="41"/>
      <c r="Z437" s="41"/>
      <c r="AA437" s="41"/>
      <c r="AB437" s="41"/>
      <c r="AC437" s="41"/>
    </row>
    <row r="438" ht="15.75" customHeight="1">
      <c r="A438" s="82" t="s">
        <v>122</v>
      </c>
      <c r="B438" s="82" t="s">
        <v>2217</v>
      </c>
      <c r="C438" s="82" t="s">
        <v>97</v>
      </c>
      <c r="D438" s="82" t="s">
        <v>2218</v>
      </c>
      <c r="E438" s="82" t="s">
        <v>1719</v>
      </c>
      <c r="F438" s="82" t="s">
        <v>1720</v>
      </c>
      <c r="G438" s="82" t="s">
        <v>1721</v>
      </c>
      <c r="H438" s="82" t="s">
        <v>2010</v>
      </c>
      <c r="I438" s="41"/>
      <c r="J438" s="82" t="s">
        <v>1723</v>
      </c>
      <c r="K438" s="82" t="s">
        <v>1724</v>
      </c>
      <c r="L438" s="82" t="s">
        <v>2219</v>
      </c>
      <c r="M438" s="83" t="s">
        <v>2220</v>
      </c>
      <c r="N438" s="74" t="b">
        <v>0</v>
      </c>
      <c r="O438" s="74" t="b">
        <v>0</v>
      </c>
      <c r="P438" s="74" t="b">
        <v>0</v>
      </c>
      <c r="Q438" s="82" t="s">
        <v>319</v>
      </c>
      <c r="R438" s="83" t="s">
        <v>2221</v>
      </c>
      <c r="S438" s="82" t="s">
        <v>2013</v>
      </c>
      <c r="T438" s="41"/>
      <c r="U438" s="41"/>
      <c r="V438" s="41"/>
      <c r="W438" s="41"/>
      <c r="X438" s="41"/>
      <c r="Y438" s="41"/>
      <c r="Z438" s="41"/>
      <c r="AA438" s="41"/>
      <c r="AB438" s="41"/>
      <c r="AC438" s="41"/>
    </row>
    <row r="439" ht="15.75" customHeight="1">
      <c r="A439" s="82" t="s">
        <v>122</v>
      </c>
      <c r="B439" s="82" t="s">
        <v>2222</v>
      </c>
      <c r="C439" s="82" t="s">
        <v>97</v>
      </c>
      <c r="D439" s="82" t="s">
        <v>1718</v>
      </c>
      <c r="E439" s="82" t="s">
        <v>1719</v>
      </c>
      <c r="F439" s="82" t="s">
        <v>1746</v>
      </c>
      <c r="G439" s="82" t="s">
        <v>1721</v>
      </c>
      <c r="H439" s="82" t="s">
        <v>1722</v>
      </c>
      <c r="I439" s="41"/>
      <c r="J439" s="82" t="s">
        <v>1723</v>
      </c>
      <c r="K439" s="82" t="s">
        <v>1724</v>
      </c>
      <c r="L439" s="82" t="s">
        <v>2223</v>
      </c>
      <c r="M439" s="83" t="s">
        <v>2224</v>
      </c>
      <c r="N439" s="74" t="b">
        <v>0</v>
      </c>
      <c r="O439" s="74" t="b">
        <v>0</v>
      </c>
      <c r="P439" s="74" t="b">
        <v>0</v>
      </c>
      <c r="Q439" s="82" t="s">
        <v>319</v>
      </c>
      <c r="R439" s="83" t="s">
        <v>2177</v>
      </c>
      <c r="S439" s="82" t="s">
        <v>1728</v>
      </c>
      <c r="T439" s="41"/>
      <c r="U439" s="41"/>
      <c r="V439" s="41"/>
      <c r="W439" s="41"/>
      <c r="X439" s="41"/>
      <c r="Y439" s="41"/>
      <c r="Z439" s="41"/>
      <c r="AA439" s="41"/>
      <c r="AB439" s="41"/>
      <c r="AC439" s="41"/>
    </row>
    <row r="440" ht="15.75" customHeight="1">
      <c r="A440" s="82" t="s">
        <v>122</v>
      </c>
      <c r="B440" s="82" t="s">
        <v>2225</v>
      </c>
      <c r="C440" s="82" t="s">
        <v>148</v>
      </c>
      <c r="D440" s="82" t="s">
        <v>56</v>
      </c>
      <c r="E440" s="82" t="s">
        <v>1719</v>
      </c>
      <c r="F440" s="82" t="s">
        <v>1730</v>
      </c>
      <c r="G440" s="82" t="s">
        <v>1721</v>
      </c>
      <c r="H440" s="82" t="s">
        <v>2010</v>
      </c>
      <c r="I440" s="41"/>
      <c r="J440" s="82" t="s">
        <v>1723</v>
      </c>
      <c r="K440" s="82" t="s">
        <v>1724</v>
      </c>
      <c r="L440" s="82" t="s">
        <v>2226</v>
      </c>
      <c r="M440" s="83" t="s">
        <v>2227</v>
      </c>
      <c r="N440" s="74" t="b">
        <v>0</v>
      </c>
      <c r="O440" s="74" t="b">
        <v>0</v>
      </c>
      <c r="P440" s="74" t="b">
        <v>0</v>
      </c>
      <c r="Q440" s="82" t="s">
        <v>319</v>
      </c>
      <c r="R440" s="83" t="s">
        <v>2228</v>
      </c>
      <c r="S440" s="82" t="s">
        <v>2013</v>
      </c>
      <c r="T440" s="41"/>
      <c r="U440" s="41"/>
      <c r="V440" s="41"/>
      <c r="W440" s="41"/>
      <c r="X440" s="41"/>
      <c r="Y440" s="41"/>
      <c r="Z440" s="41"/>
      <c r="AA440" s="41"/>
      <c r="AB440" s="41"/>
      <c r="AC440" s="41"/>
    </row>
    <row r="441" ht="15.75" customHeight="1">
      <c r="A441" s="82" t="s">
        <v>122</v>
      </c>
      <c r="B441" s="82" t="s">
        <v>2229</v>
      </c>
      <c r="C441" s="82" t="s">
        <v>2230</v>
      </c>
      <c r="D441" s="82" t="s">
        <v>1718</v>
      </c>
      <c r="E441" s="82" t="s">
        <v>1719</v>
      </c>
      <c r="F441" s="82" t="s">
        <v>1746</v>
      </c>
      <c r="G441" s="82" t="s">
        <v>1721</v>
      </c>
      <c r="H441" s="82" t="s">
        <v>1722</v>
      </c>
      <c r="I441" s="41"/>
      <c r="J441" s="82" t="s">
        <v>1723</v>
      </c>
      <c r="K441" s="82" t="s">
        <v>1724</v>
      </c>
      <c r="L441" s="82" t="s">
        <v>2231</v>
      </c>
      <c r="M441" s="83" t="s">
        <v>2232</v>
      </c>
      <c r="N441" s="74" t="b">
        <v>0</v>
      </c>
      <c r="O441" s="74" t="b">
        <v>0</v>
      </c>
      <c r="P441" s="74" t="b">
        <v>0</v>
      </c>
      <c r="Q441" s="82" t="s">
        <v>319</v>
      </c>
      <c r="R441" s="83" t="s">
        <v>2177</v>
      </c>
      <c r="S441" s="82" t="s">
        <v>1728</v>
      </c>
      <c r="T441" s="41"/>
      <c r="U441" s="41"/>
      <c r="V441" s="41"/>
      <c r="W441" s="41"/>
      <c r="X441" s="41"/>
      <c r="Y441" s="41"/>
      <c r="Z441" s="41"/>
      <c r="AA441" s="41"/>
      <c r="AB441" s="41"/>
      <c r="AC441" s="41"/>
    </row>
    <row r="442" ht="15.75" customHeight="1">
      <c r="A442" s="82" t="s">
        <v>122</v>
      </c>
      <c r="B442" s="82" t="s">
        <v>2233</v>
      </c>
      <c r="C442" s="82" t="s">
        <v>140</v>
      </c>
      <c r="D442" s="82" t="s">
        <v>1718</v>
      </c>
      <c r="E442" s="82" t="s">
        <v>1719</v>
      </c>
      <c r="F442" s="82" t="s">
        <v>1754</v>
      </c>
      <c r="G442" s="82" t="s">
        <v>1721</v>
      </c>
      <c r="H442" s="82" t="s">
        <v>1722</v>
      </c>
      <c r="I442" s="41"/>
      <c r="J442" s="82" t="s">
        <v>1723</v>
      </c>
      <c r="K442" s="82" t="s">
        <v>1724</v>
      </c>
      <c r="L442" s="82" t="s">
        <v>1827</v>
      </c>
      <c r="M442" s="83" t="s">
        <v>2234</v>
      </c>
      <c r="N442" s="74" t="b">
        <v>0</v>
      </c>
      <c r="O442" s="74" t="b">
        <v>0</v>
      </c>
      <c r="P442" s="74" t="b">
        <v>0</v>
      </c>
      <c r="Q442" s="82" t="s">
        <v>319</v>
      </c>
      <c r="R442" s="83" t="s">
        <v>803</v>
      </c>
      <c r="S442" s="82" t="s">
        <v>1728</v>
      </c>
      <c r="T442" s="41"/>
      <c r="U442" s="41"/>
      <c r="V442" s="41"/>
      <c r="W442" s="41"/>
      <c r="X442" s="41"/>
      <c r="Y442" s="41"/>
      <c r="Z442" s="41"/>
      <c r="AA442" s="41"/>
      <c r="AB442" s="41"/>
      <c r="AC442" s="41"/>
    </row>
    <row r="443" ht="15.75" customHeight="1">
      <c r="A443" s="82" t="s">
        <v>122</v>
      </c>
      <c r="B443" s="82" t="s">
        <v>2235</v>
      </c>
      <c r="C443" s="82" t="s">
        <v>140</v>
      </c>
      <c r="D443" s="82" t="s">
        <v>1718</v>
      </c>
      <c r="E443" s="82" t="s">
        <v>1719</v>
      </c>
      <c r="F443" s="82" t="s">
        <v>1754</v>
      </c>
      <c r="G443" s="82" t="s">
        <v>1721</v>
      </c>
      <c r="H443" s="82" t="s">
        <v>1722</v>
      </c>
      <c r="I443" s="41"/>
      <c r="J443" s="82" t="s">
        <v>1723</v>
      </c>
      <c r="K443" s="82" t="s">
        <v>1724</v>
      </c>
      <c r="L443" s="82" t="s">
        <v>2236</v>
      </c>
      <c r="M443" s="83" t="s">
        <v>2237</v>
      </c>
      <c r="N443" s="74" t="b">
        <v>0</v>
      </c>
      <c r="O443" s="74" t="b">
        <v>0</v>
      </c>
      <c r="P443" s="74" t="b">
        <v>0</v>
      </c>
      <c r="Q443" s="82" t="s">
        <v>319</v>
      </c>
      <c r="R443" s="83" t="s">
        <v>2238</v>
      </c>
      <c r="S443" s="82" t="s">
        <v>1728</v>
      </c>
      <c r="T443" s="41"/>
      <c r="U443" s="41"/>
      <c r="V443" s="41"/>
      <c r="W443" s="41"/>
      <c r="X443" s="41"/>
      <c r="Y443" s="41"/>
      <c r="Z443" s="41"/>
      <c r="AA443" s="41"/>
      <c r="AB443" s="41"/>
      <c r="AC443" s="41"/>
    </row>
    <row r="444" ht="15.75" customHeight="1">
      <c r="A444" s="82" t="s">
        <v>122</v>
      </c>
      <c r="B444" s="82" t="s">
        <v>2239</v>
      </c>
      <c r="C444" s="82" t="s">
        <v>140</v>
      </c>
      <c r="D444" s="82" t="s">
        <v>1718</v>
      </c>
      <c r="E444" s="82" t="s">
        <v>1719</v>
      </c>
      <c r="F444" s="82" t="s">
        <v>1746</v>
      </c>
      <c r="G444" s="82" t="s">
        <v>1721</v>
      </c>
      <c r="H444" s="82" t="s">
        <v>1722</v>
      </c>
      <c r="I444" s="41"/>
      <c r="J444" s="82" t="s">
        <v>1723</v>
      </c>
      <c r="K444" s="82" t="s">
        <v>1724</v>
      </c>
      <c r="L444" s="82" t="s">
        <v>2240</v>
      </c>
      <c r="M444" s="83" t="s">
        <v>2241</v>
      </c>
      <c r="N444" s="74" t="b">
        <v>0</v>
      </c>
      <c r="O444" s="74" t="b">
        <v>0</v>
      </c>
      <c r="P444" s="74" t="b">
        <v>0</v>
      </c>
      <c r="Q444" s="82" t="s">
        <v>319</v>
      </c>
      <c r="R444" s="83" t="s">
        <v>2238</v>
      </c>
      <c r="S444" s="82" t="s">
        <v>1728</v>
      </c>
      <c r="T444" s="41"/>
      <c r="U444" s="41"/>
      <c r="V444" s="41"/>
      <c r="W444" s="41"/>
      <c r="X444" s="41"/>
      <c r="Y444" s="41"/>
      <c r="Z444" s="41"/>
      <c r="AA444" s="41"/>
      <c r="AB444" s="41"/>
      <c r="AC444" s="41"/>
    </row>
    <row r="445" ht="15.75" customHeight="1">
      <c r="A445" s="82" t="s">
        <v>122</v>
      </c>
      <c r="B445" s="82" t="s">
        <v>2242</v>
      </c>
      <c r="C445" s="82" t="s">
        <v>140</v>
      </c>
      <c r="D445" s="82" t="s">
        <v>1718</v>
      </c>
      <c r="E445" s="82" t="s">
        <v>1719</v>
      </c>
      <c r="F445" s="82" t="s">
        <v>1720</v>
      </c>
      <c r="G445" s="82" t="s">
        <v>1721</v>
      </c>
      <c r="H445" s="82" t="s">
        <v>1722</v>
      </c>
      <c r="I445" s="41"/>
      <c r="J445" s="82" t="s">
        <v>1723</v>
      </c>
      <c r="K445" s="82" t="s">
        <v>1724</v>
      </c>
      <c r="L445" s="82" t="s">
        <v>2243</v>
      </c>
      <c r="M445" s="83" t="s">
        <v>2244</v>
      </c>
      <c r="N445" s="74" t="b">
        <v>0</v>
      </c>
      <c r="O445" s="74" t="b">
        <v>0</v>
      </c>
      <c r="P445" s="74" t="b">
        <v>0</v>
      </c>
      <c r="Q445" s="82" t="s">
        <v>319</v>
      </c>
      <c r="R445" s="83" t="s">
        <v>2238</v>
      </c>
      <c r="S445" s="82" t="s">
        <v>1728</v>
      </c>
      <c r="T445" s="41"/>
      <c r="U445" s="41"/>
      <c r="V445" s="41"/>
      <c r="W445" s="41"/>
      <c r="X445" s="41"/>
      <c r="Y445" s="41"/>
      <c r="Z445" s="41"/>
      <c r="AA445" s="41"/>
      <c r="AB445" s="41"/>
      <c r="AC445" s="41"/>
    </row>
    <row r="446" ht="15.75" customHeight="1">
      <c r="A446" s="82" t="s">
        <v>122</v>
      </c>
      <c r="B446" s="82" t="s">
        <v>2245</v>
      </c>
      <c r="C446" s="82" t="s">
        <v>140</v>
      </c>
      <c r="D446" s="82" t="s">
        <v>1718</v>
      </c>
      <c r="E446" s="82" t="s">
        <v>1719</v>
      </c>
      <c r="F446" s="82" t="s">
        <v>1720</v>
      </c>
      <c r="G446" s="82" t="s">
        <v>1721</v>
      </c>
      <c r="H446" s="82" t="s">
        <v>1722</v>
      </c>
      <c r="I446" s="41"/>
      <c r="J446" s="82" t="s">
        <v>1723</v>
      </c>
      <c r="K446" s="82" t="s">
        <v>1724</v>
      </c>
      <c r="L446" s="82" t="s">
        <v>2243</v>
      </c>
      <c r="M446" s="83" t="s">
        <v>2246</v>
      </c>
      <c r="N446" s="74" t="b">
        <v>0</v>
      </c>
      <c r="O446" s="74" t="b">
        <v>0</v>
      </c>
      <c r="P446" s="74" t="b">
        <v>0</v>
      </c>
      <c r="Q446" s="82" t="s">
        <v>319</v>
      </c>
      <c r="R446" s="83" t="s">
        <v>2238</v>
      </c>
      <c r="S446" s="82" t="s">
        <v>1728</v>
      </c>
      <c r="T446" s="41"/>
      <c r="U446" s="41"/>
      <c r="V446" s="41"/>
      <c r="W446" s="41"/>
      <c r="X446" s="41"/>
      <c r="Y446" s="41"/>
      <c r="Z446" s="41"/>
      <c r="AA446" s="41"/>
      <c r="AB446" s="41"/>
      <c r="AC446" s="41"/>
    </row>
    <row r="447" ht="15.75" customHeight="1">
      <c r="A447" s="82" t="s">
        <v>122</v>
      </c>
      <c r="B447" s="82" t="s">
        <v>2247</v>
      </c>
      <c r="C447" s="82" t="s">
        <v>140</v>
      </c>
      <c r="D447" s="82" t="s">
        <v>1718</v>
      </c>
      <c r="E447" s="82" t="s">
        <v>1719</v>
      </c>
      <c r="F447" s="82" t="s">
        <v>1754</v>
      </c>
      <c r="G447" s="82" t="s">
        <v>1721</v>
      </c>
      <c r="H447" s="82" t="s">
        <v>1722</v>
      </c>
      <c r="I447" s="41"/>
      <c r="J447" s="82" t="s">
        <v>1723</v>
      </c>
      <c r="K447" s="82" t="s">
        <v>1724</v>
      </c>
      <c r="L447" s="82" t="s">
        <v>2248</v>
      </c>
      <c r="M447" s="83" t="s">
        <v>2249</v>
      </c>
      <c r="N447" s="74" t="b">
        <v>0</v>
      </c>
      <c r="O447" s="74" t="b">
        <v>0</v>
      </c>
      <c r="P447" s="74" t="b">
        <v>0</v>
      </c>
      <c r="Q447" s="82" t="s">
        <v>319</v>
      </c>
      <c r="R447" s="83" t="s">
        <v>803</v>
      </c>
      <c r="S447" s="82" t="s">
        <v>1728</v>
      </c>
      <c r="T447" s="41"/>
      <c r="U447" s="41"/>
      <c r="V447" s="41"/>
      <c r="W447" s="41"/>
      <c r="X447" s="41"/>
      <c r="Y447" s="41"/>
      <c r="Z447" s="41"/>
      <c r="AA447" s="41"/>
      <c r="AB447" s="41"/>
      <c r="AC447" s="41"/>
    </row>
    <row r="448" ht="15.75" customHeight="1">
      <c r="A448" s="82" t="s">
        <v>122</v>
      </c>
      <c r="B448" s="82" t="s">
        <v>2250</v>
      </c>
      <c r="C448" s="82" t="s">
        <v>140</v>
      </c>
      <c r="D448" s="82" t="s">
        <v>1718</v>
      </c>
      <c r="E448" s="82" t="s">
        <v>1719</v>
      </c>
      <c r="F448" s="82" t="s">
        <v>1720</v>
      </c>
      <c r="G448" s="82" t="s">
        <v>1721</v>
      </c>
      <c r="H448" s="82" t="s">
        <v>1722</v>
      </c>
      <c r="I448" s="41"/>
      <c r="J448" s="82" t="s">
        <v>1723</v>
      </c>
      <c r="K448" s="82" t="s">
        <v>1724</v>
      </c>
      <c r="L448" s="82" t="s">
        <v>2060</v>
      </c>
      <c r="M448" s="83" t="s">
        <v>2251</v>
      </c>
      <c r="N448" s="74" t="b">
        <v>0</v>
      </c>
      <c r="O448" s="74" t="b">
        <v>0</v>
      </c>
      <c r="P448" s="74" t="b">
        <v>0</v>
      </c>
      <c r="Q448" s="82" t="s">
        <v>319</v>
      </c>
      <c r="R448" s="83" t="s">
        <v>2238</v>
      </c>
      <c r="S448" s="82" t="s">
        <v>1728</v>
      </c>
      <c r="T448" s="41"/>
      <c r="U448" s="41"/>
      <c r="V448" s="41"/>
      <c r="W448" s="41"/>
      <c r="X448" s="41"/>
      <c r="Y448" s="41"/>
      <c r="Z448" s="41"/>
      <c r="AA448" s="41"/>
      <c r="AB448" s="41"/>
      <c r="AC448" s="41"/>
    </row>
    <row r="449" ht="15.75" customHeight="1">
      <c r="A449" s="82" t="s">
        <v>122</v>
      </c>
      <c r="B449" s="82" t="s">
        <v>2252</v>
      </c>
      <c r="C449" s="82" t="s">
        <v>140</v>
      </c>
      <c r="D449" s="82" t="s">
        <v>1718</v>
      </c>
      <c r="E449" s="82" t="s">
        <v>1719</v>
      </c>
      <c r="F449" s="82" t="s">
        <v>1754</v>
      </c>
      <c r="G449" s="82" t="s">
        <v>1721</v>
      </c>
      <c r="H449" s="82" t="s">
        <v>1722</v>
      </c>
      <c r="I449" s="41"/>
      <c r="J449" s="82" t="s">
        <v>1723</v>
      </c>
      <c r="K449" s="82" t="s">
        <v>1724</v>
      </c>
      <c r="L449" s="82" t="s">
        <v>1827</v>
      </c>
      <c r="M449" s="83" t="s">
        <v>2253</v>
      </c>
      <c r="N449" s="74" t="b">
        <v>0</v>
      </c>
      <c r="O449" s="74" t="b">
        <v>0</v>
      </c>
      <c r="P449" s="74" t="b">
        <v>0</v>
      </c>
      <c r="Q449" s="82" t="s">
        <v>319</v>
      </c>
      <c r="R449" s="83" t="s">
        <v>803</v>
      </c>
      <c r="S449" s="82" t="s">
        <v>1728</v>
      </c>
      <c r="T449" s="41"/>
      <c r="U449" s="41"/>
      <c r="V449" s="41"/>
      <c r="W449" s="41"/>
      <c r="X449" s="41"/>
      <c r="Y449" s="41"/>
      <c r="Z449" s="41"/>
      <c r="AA449" s="41"/>
      <c r="AB449" s="41"/>
      <c r="AC449" s="41"/>
    </row>
    <row r="450" ht="15.75" customHeight="1">
      <c r="A450" s="82" t="s">
        <v>122</v>
      </c>
      <c r="B450" s="82" t="s">
        <v>2254</v>
      </c>
      <c r="C450" s="82" t="s">
        <v>140</v>
      </c>
      <c r="D450" s="82" t="s">
        <v>1718</v>
      </c>
      <c r="E450" s="82" t="s">
        <v>1719</v>
      </c>
      <c r="F450" s="82" t="s">
        <v>1730</v>
      </c>
      <c r="G450" s="82" t="s">
        <v>1721</v>
      </c>
      <c r="H450" s="82" t="s">
        <v>1722</v>
      </c>
      <c r="I450" s="41"/>
      <c r="J450" s="82" t="s">
        <v>1723</v>
      </c>
      <c r="K450" s="82" t="s">
        <v>1724</v>
      </c>
      <c r="L450" s="82" t="s">
        <v>2255</v>
      </c>
      <c r="M450" s="83" t="s">
        <v>2256</v>
      </c>
      <c r="N450" s="74" t="b">
        <v>0</v>
      </c>
      <c r="O450" s="74" t="b">
        <v>0</v>
      </c>
      <c r="P450" s="74" t="b">
        <v>0</v>
      </c>
      <c r="Q450" s="82" t="s">
        <v>319</v>
      </c>
      <c r="R450" s="83" t="s">
        <v>2238</v>
      </c>
      <c r="S450" s="82" t="s">
        <v>1728</v>
      </c>
      <c r="T450" s="41"/>
      <c r="U450" s="41"/>
      <c r="V450" s="41"/>
      <c r="W450" s="41"/>
      <c r="X450" s="41"/>
      <c r="Y450" s="41"/>
      <c r="Z450" s="41"/>
      <c r="AA450" s="41"/>
      <c r="AB450" s="41"/>
      <c r="AC450" s="41"/>
    </row>
    <row r="451" ht="15.75" customHeight="1">
      <c r="A451" s="82" t="s">
        <v>122</v>
      </c>
      <c r="B451" s="82" t="s">
        <v>2257</v>
      </c>
      <c r="C451" s="82" t="s">
        <v>140</v>
      </c>
      <c r="D451" s="82" t="s">
        <v>1718</v>
      </c>
      <c r="E451" s="82" t="s">
        <v>1719</v>
      </c>
      <c r="F451" s="82" t="s">
        <v>1720</v>
      </c>
      <c r="G451" s="82" t="s">
        <v>1721</v>
      </c>
      <c r="H451" s="82" t="s">
        <v>1722</v>
      </c>
      <c r="I451" s="41"/>
      <c r="J451" s="82" t="s">
        <v>1723</v>
      </c>
      <c r="K451" s="82" t="s">
        <v>1724</v>
      </c>
      <c r="L451" s="82" t="s">
        <v>2258</v>
      </c>
      <c r="M451" s="83" t="s">
        <v>2259</v>
      </c>
      <c r="N451" s="74" t="b">
        <v>0</v>
      </c>
      <c r="O451" s="74" t="b">
        <v>0</v>
      </c>
      <c r="P451" s="74" t="b">
        <v>0</v>
      </c>
      <c r="Q451" s="82" t="s">
        <v>319</v>
      </c>
      <c r="R451" s="83" t="s">
        <v>803</v>
      </c>
      <c r="S451" s="82" t="s">
        <v>1728</v>
      </c>
      <c r="T451" s="41"/>
      <c r="U451" s="41"/>
      <c r="V451" s="41"/>
      <c r="W451" s="41"/>
      <c r="X451" s="41"/>
      <c r="Y451" s="41"/>
      <c r="Z451" s="41"/>
      <c r="AA451" s="41"/>
      <c r="AB451" s="41"/>
      <c r="AC451" s="41"/>
    </row>
    <row r="452" ht="15.75" customHeight="1">
      <c r="A452" s="82" t="s">
        <v>122</v>
      </c>
      <c r="B452" s="82" t="s">
        <v>2260</v>
      </c>
      <c r="C452" s="82" t="s">
        <v>140</v>
      </c>
      <c r="D452" s="82" t="s">
        <v>1718</v>
      </c>
      <c r="E452" s="82" t="s">
        <v>1719</v>
      </c>
      <c r="F452" s="82" t="s">
        <v>1746</v>
      </c>
      <c r="G452" s="82" t="s">
        <v>1721</v>
      </c>
      <c r="H452" s="82" t="s">
        <v>1722</v>
      </c>
      <c r="I452" s="41"/>
      <c r="J452" s="82" t="s">
        <v>1723</v>
      </c>
      <c r="K452" s="82" t="s">
        <v>1724</v>
      </c>
      <c r="L452" s="82" t="s">
        <v>2261</v>
      </c>
      <c r="M452" s="83" t="s">
        <v>2262</v>
      </c>
      <c r="N452" s="74" t="b">
        <v>0</v>
      </c>
      <c r="O452" s="74" t="b">
        <v>0</v>
      </c>
      <c r="P452" s="74" t="b">
        <v>0</v>
      </c>
      <c r="Q452" s="82" t="s">
        <v>319</v>
      </c>
      <c r="R452" s="83" t="s">
        <v>2238</v>
      </c>
      <c r="S452" s="82" t="s">
        <v>1728</v>
      </c>
      <c r="T452" s="41"/>
      <c r="U452" s="41"/>
      <c r="V452" s="41"/>
      <c r="W452" s="41"/>
      <c r="X452" s="41"/>
      <c r="Y452" s="41"/>
      <c r="Z452" s="41"/>
      <c r="AA452" s="41"/>
      <c r="AB452" s="41"/>
      <c r="AC452" s="41"/>
    </row>
    <row r="453" ht="15.75" customHeight="1">
      <c r="A453" s="82" t="s">
        <v>122</v>
      </c>
      <c r="B453" s="82" t="s">
        <v>2263</v>
      </c>
      <c r="C453" s="82" t="s">
        <v>140</v>
      </c>
      <c r="D453" s="82" t="s">
        <v>1718</v>
      </c>
      <c r="E453" s="82" t="s">
        <v>1719</v>
      </c>
      <c r="F453" s="82" t="s">
        <v>1746</v>
      </c>
      <c r="G453" s="82" t="s">
        <v>1721</v>
      </c>
      <c r="H453" s="82" t="s">
        <v>1722</v>
      </c>
      <c r="I453" s="41"/>
      <c r="J453" s="82" t="s">
        <v>1723</v>
      </c>
      <c r="K453" s="82" t="s">
        <v>1724</v>
      </c>
      <c r="L453" s="82" t="s">
        <v>2264</v>
      </c>
      <c r="M453" s="83" t="s">
        <v>2265</v>
      </c>
      <c r="N453" s="74" t="b">
        <v>0</v>
      </c>
      <c r="O453" s="74" t="b">
        <v>0</v>
      </c>
      <c r="P453" s="74" t="b">
        <v>0</v>
      </c>
      <c r="Q453" s="82" t="s">
        <v>319</v>
      </c>
      <c r="R453" s="83" t="s">
        <v>2238</v>
      </c>
      <c r="S453" s="82" t="s">
        <v>1728</v>
      </c>
      <c r="T453" s="41"/>
      <c r="U453" s="41"/>
      <c r="V453" s="41"/>
      <c r="W453" s="41"/>
      <c r="X453" s="41"/>
      <c r="Y453" s="41"/>
      <c r="Z453" s="41"/>
      <c r="AA453" s="41"/>
      <c r="AB453" s="41"/>
      <c r="AC453" s="41"/>
    </row>
    <row r="454" ht="15.75" customHeight="1">
      <c r="A454" s="82" t="s">
        <v>122</v>
      </c>
      <c r="B454" s="82" t="s">
        <v>2266</v>
      </c>
      <c r="C454" s="82" t="s">
        <v>140</v>
      </c>
      <c r="D454" s="82" t="s">
        <v>1718</v>
      </c>
      <c r="E454" s="82" t="s">
        <v>1719</v>
      </c>
      <c r="F454" s="82" t="s">
        <v>1754</v>
      </c>
      <c r="G454" s="82" t="s">
        <v>1721</v>
      </c>
      <c r="H454" s="82" t="s">
        <v>1722</v>
      </c>
      <c r="I454" s="41"/>
      <c r="J454" s="82" t="s">
        <v>1723</v>
      </c>
      <c r="K454" s="82" t="s">
        <v>1724</v>
      </c>
      <c r="L454" s="82" t="s">
        <v>1827</v>
      </c>
      <c r="M454" s="83" t="s">
        <v>2267</v>
      </c>
      <c r="N454" s="74" t="b">
        <v>0</v>
      </c>
      <c r="O454" s="74" t="b">
        <v>0</v>
      </c>
      <c r="P454" s="74" t="b">
        <v>0</v>
      </c>
      <c r="Q454" s="82" t="s">
        <v>319</v>
      </c>
      <c r="R454" s="83" t="s">
        <v>803</v>
      </c>
      <c r="S454" s="82" t="s">
        <v>1728</v>
      </c>
      <c r="T454" s="41"/>
      <c r="U454" s="41"/>
      <c r="V454" s="41"/>
      <c r="W454" s="41"/>
      <c r="X454" s="41"/>
      <c r="Y454" s="41"/>
      <c r="Z454" s="41"/>
      <c r="AA454" s="41"/>
      <c r="AB454" s="41"/>
      <c r="AC454" s="41"/>
    </row>
    <row r="455" ht="15.75" customHeight="1">
      <c r="A455" s="82" t="s">
        <v>122</v>
      </c>
      <c r="B455" s="82" t="s">
        <v>2268</v>
      </c>
      <c r="C455" s="82" t="s">
        <v>140</v>
      </c>
      <c r="D455" s="82" t="s">
        <v>1718</v>
      </c>
      <c r="E455" s="82" t="s">
        <v>1719</v>
      </c>
      <c r="F455" s="82" t="s">
        <v>1746</v>
      </c>
      <c r="G455" s="82" t="s">
        <v>1721</v>
      </c>
      <c r="H455" s="82" t="s">
        <v>1722</v>
      </c>
      <c r="I455" s="41"/>
      <c r="J455" s="82" t="s">
        <v>1723</v>
      </c>
      <c r="K455" s="82" t="s">
        <v>1724</v>
      </c>
      <c r="L455" s="82" t="s">
        <v>2269</v>
      </c>
      <c r="M455" s="83" t="s">
        <v>2270</v>
      </c>
      <c r="N455" s="74" t="b">
        <v>0</v>
      </c>
      <c r="O455" s="74" t="b">
        <v>0</v>
      </c>
      <c r="P455" s="74" t="b">
        <v>0</v>
      </c>
      <c r="Q455" s="82" t="s">
        <v>319</v>
      </c>
      <c r="R455" s="83" t="s">
        <v>803</v>
      </c>
      <c r="S455" s="82" t="s">
        <v>1728</v>
      </c>
      <c r="T455" s="41"/>
      <c r="U455" s="41"/>
      <c r="V455" s="41"/>
      <c r="W455" s="41"/>
      <c r="X455" s="41"/>
      <c r="Y455" s="41"/>
      <c r="Z455" s="41"/>
      <c r="AA455" s="41"/>
      <c r="AB455" s="41"/>
      <c r="AC455" s="41"/>
    </row>
    <row r="456" ht="15.75" customHeight="1">
      <c r="A456" s="82" t="s">
        <v>122</v>
      </c>
      <c r="B456" s="82" t="s">
        <v>2271</v>
      </c>
      <c r="C456" s="82" t="s">
        <v>140</v>
      </c>
      <c r="D456" s="82" t="s">
        <v>1718</v>
      </c>
      <c r="E456" s="82" t="s">
        <v>1719</v>
      </c>
      <c r="F456" s="82" t="s">
        <v>1754</v>
      </c>
      <c r="G456" s="82" t="s">
        <v>1721</v>
      </c>
      <c r="H456" s="82" t="s">
        <v>1722</v>
      </c>
      <c r="I456" s="41"/>
      <c r="J456" s="82" t="s">
        <v>1723</v>
      </c>
      <c r="K456" s="82" t="s">
        <v>1724</v>
      </c>
      <c r="L456" s="82" t="s">
        <v>2272</v>
      </c>
      <c r="M456" s="83" t="s">
        <v>2273</v>
      </c>
      <c r="N456" s="74" t="b">
        <v>0</v>
      </c>
      <c r="O456" s="74" t="b">
        <v>0</v>
      </c>
      <c r="P456" s="74" t="b">
        <v>0</v>
      </c>
      <c r="Q456" s="82" t="s">
        <v>319</v>
      </c>
      <c r="R456" s="83" t="s">
        <v>803</v>
      </c>
      <c r="S456" s="82" t="s">
        <v>1728</v>
      </c>
      <c r="T456" s="41"/>
      <c r="U456" s="41"/>
      <c r="V456" s="41"/>
      <c r="W456" s="41"/>
      <c r="X456" s="41"/>
      <c r="Y456" s="41"/>
      <c r="Z456" s="41"/>
      <c r="AA456" s="41"/>
      <c r="AB456" s="41"/>
      <c r="AC456" s="41"/>
    </row>
    <row r="457" ht="15.75" customHeight="1">
      <c r="A457" s="82" t="s">
        <v>122</v>
      </c>
      <c r="B457" s="82" t="s">
        <v>2274</v>
      </c>
      <c r="C457" s="82" t="s">
        <v>140</v>
      </c>
      <c r="D457" s="82" t="s">
        <v>1718</v>
      </c>
      <c r="E457" s="82" t="s">
        <v>1719</v>
      </c>
      <c r="F457" s="82" t="s">
        <v>1730</v>
      </c>
      <c r="G457" s="82" t="s">
        <v>1721</v>
      </c>
      <c r="H457" s="82" t="s">
        <v>1722</v>
      </c>
      <c r="I457" s="41"/>
      <c r="J457" s="82" t="s">
        <v>1723</v>
      </c>
      <c r="K457" s="82" t="s">
        <v>1724</v>
      </c>
      <c r="L457" s="82" t="s">
        <v>2275</v>
      </c>
      <c r="M457" s="83" t="s">
        <v>2276</v>
      </c>
      <c r="N457" s="74" t="b">
        <v>0</v>
      </c>
      <c r="O457" s="74" t="b">
        <v>0</v>
      </c>
      <c r="P457" s="74" t="b">
        <v>0</v>
      </c>
      <c r="Q457" s="82" t="s">
        <v>319</v>
      </c>
      <c r="R457" s="83" t="s">
        <v>2238</v>
      </c>
      <c r="S457" s="82" t="s">
        <v>1728</v>
      </c>
      <c r="T457" s="41"/>
      <c r="U457" s="41"/>
      <c r="V457" s="41"/>
      <c r="W457" s="41"/>
      <c r="X457" s="41"/>
      <c r="Y457" s="41"/>
      <c r="Z457" s="41"/>
      <c r="AA457" s="41"/>
      <c r="AB457" s="41"/>
      <c r="AC457" s="41"/>
    </row>
    <row r="458" ht="15.75" customHeight="1">
      <c r="A458" s="82" t="s">
        <v>122</v>
      </c>
      <c r="B458" s="82" t="s">
        <v>2277</v>
      </c>
      <c r="C458" s="82" t="s">
        <v>140</v>
      </c>
      <c r="D458" s="82" t="s">
        <v>1718</v>
      </c>
      <c r="E458" s="82" t="s">
        <v>1719</v>
      </c>
      <c r="F458" s="82" t="s">
        <v>1754</v>
      </c>
      <c r="G458" s="82" t="s">
        <v>1721</v>
      </c>
      <c r="H458" s="82" t="s">
        <v>1722</v>
      </c>
      <c r="I458" s="41"/>
      <c r="J458" s="82" t="s">
        <v>1723</v>
      </c>
      <c r="K458" s="82" t="s">
        <v>1724</v>
      </c>
      <c r="L458" s="82" t="s">
        <v>2278</v>
      </c>
      <c r="M458" s="83" t="s">
        <v>2279</v>
      </c>
      <c r="N458" s="74" t="b">
        <v>0</v>
      </c>
      <c r="O458" s="74" t="b">
        <v>0</v>
      </c>
      <c r="P458" s="74" t="b">
        <v>0</v>
      </c>
      <c r="Q458" s="82" t="s">
        <v>319</v>
      </c>
      <c r="R458" s="83" t="s">
        <v>803</v>
      </c>
      <c r="S458" s="82" t="s">
        <v>1728</v>
      </c>
      <c r="T458" s="41"/>
      <c r="U458" s="41"/>
      <c r="V458" s="41"/>
      <c r="W458" s="41"/>
      <c r="X458" s="41"/>
      <c r="Y458" s="41"/>
      <c r="Z458" s="41"/>
      <c r="AA458" s="41"/>
      <c r="AB458" s="41"/>
      <c r="AC458" s="41"/>
    </row>
    <row r="459" ht="15.75" customHeight="1">
      <c r="A459" s="82" t="s">
        <v>122</v>
      </c>
      <c r="B459" s="82" t="s">
        <v>2280</v>
      </c>
      <c r="C459" s="82" t="s">
        <v>140</v>
      </c>
      <c r="D459" s="82" t="s">
        <v>1718</v>
      </c>
      <c r="E459" s="82" t="s">
        <v>1719</v>
      </c>
      <c r="F459" s="82" t="s">
        <v>1746</v>
      </c>
      <c r="G459" s="82" t="s">
        <v>1721</v>
      </c>
      <c r="H459" s="82" t="s">
        <v>1722</v>
      </c>
      <c r="I459" s="41"/>
      <c r="J459" s="82" t="s">
        <v>1723</v>
      </c>
      <c r="K459" s="82" t="s">
        <v>1724</v>
      </c>
      <c r="L459" s="82" t="s">
        <v>2281</v>
      </c>
      <c r="M459" s="83" t="s">
        <v>2282</v>
      </c>
      <c r="N459" s="74" t="b">
        <v>0</v>
      </c>
      <c r="O459" s="74" t="b">
        <v>0</v>
      </c>
      <c r="P459" s="74" t="b">
        <v>0</v>
      </c>
      <c r="Q459" s="82" t="s">
        <v>319</v>
      </c>
      <c r="R459" s="83" t="s">
        <v>2238</v>
      </c>
      <c r="S459" s="82" t="s">
        <v>1728</v>
      </c>
      <c r="T459" s="41"/>
      <c r="U459" s="41"/>
      <c r="V459" s="41"/>
      <c r="W459" s="41"/>
      <c r="X459" s="41"/>
      <c r="Y459" s="41"/>
      <c r="Z459" s="41"/>
      <c r="AA459" s="41"/>
      <c r="AB459" s="41"/>
      <c r="AC459" s="41"/>
    </row>
    <row r="460" ht="15.75" customHeight="1">
      <c r="A460" s="82" t="s">
        <v>122</v>
      </c>
      <c r="B460" s="82" t="s">
        <v>2283</v>
      </c>
      <c r="C460" s="82" t="s">
        <v>140</v>
      </c>
      <c r="D460" s="82" t="s">
        <v>1718</v>
      </c>
      <c r="E460" s="82" t="s">
        <v>1719</v>
      </c>
      <c r="F460" s="82" t="s">
        <v>1746</v>
      </c>
      <c r="G460" s="82" t="s">
        <v>1721</v>
      </c>
      <c r="H460" s="82" t="s">
        <v>1722</v>
      </c>
      <c r="I460" s="41"/>
      <c r="J460" s="82" t="s">
        <v>1723</v>
      </c>
      <c r="K460" s="82" t="s">
        <v>1724</v>
      </c>
      <c r="L460" s="82" t="s">
        <v>2284</v>
      </c>
      <c r="M460" s="83" t="s">
        <v>2285</v>
      </c>
      <c r="N460" s="74" t="b">
        <v>0</v>
      </c>
      <c r="O460" s="74" t="b">
        <v>0</v>
      </c>
      <c r="P460" s="74" t="b">
        <v>0</v>
      </c>
      <c r="Q460" s="82" t="s">
        <v>319</v>
      </c>
      <c r="R460" s="83" t="s">
        <v>2238</v>
      </c>
      <c r="S460" s="82" t="s">
        <v>1728</v>
      </c>
      <c r="T460" s="41"/>
      <c r="U460" s="41"/>
      <c r="V460" s="41"/>
      <c r="W460" s="41"/>
      <c r="X460" s="41"/>
      <c r="Y460" s="41"/>
      <c r="Z460" s="41"/>
      <c r="AA460" s="41"/>
      <c r="AB460" s="41"/>
      <c r="AC460" s="41"/>
    </row>
    <row r="461" ht="15.75" customHeight="1">
      <c r="A461" s="82" t="s">
        <v>122</v>
      </c>
      <c r="B461" s="82" t="s">
        <v>2286</v>
      </c>
      <c r="C461" s="82" t="s">
        <v>140</v>
      </c>
      <c r="D461" s="82" t="s">
        <v>1718</v>
      </c>
      <c r="E461" s="82" t="s">
        <v>1719</v>
      </c>
      <c r="F461" s="82" t="s">
        <v>1720</v>
      </c>
      <c r="G461" s="82" t="s">
        <v>1721</v>
      </c>
      <c r="H461" s="82" t="s">
        <v>1722</v>
      </c>
      <c r="I461" s="41"/>
      <c r="J461" s="82" t="s">
        <v>1723</v>
      </c>
      <c r="K461" s="82" t="s">
        <v>1724</v>
      </c>
      <c r="L461" s="82" t="s">
        <v>2287</v>
      </c>
      <c r="M461" s="83" t="s">
        <v>2288</v>
      </c>
      <c r="N461" s="74" t="b">
        <v>0</v>
      </c>
      <c r="O461" s="74" t="b">
        <v>0</v>
      </c>
      <c r="P461" s="74" t="b">
        <v>0</v>
      </c>
      <c r="Q461" s="82" t="s">
        <v>319</v>
      </c>
      <c r="R461" s="83" t="s">
        <v>2238</v>
      </c>
      <c r="S461" s="82" t="s">
        <v>1728</v>
      </c>
      <c r="T461" s="41"/>
      <c r="U461" s="41"/>
      <c r="V461" s="41"/>
      <c r="W461" s="41"/>
      <c r="X461" s="41"/>
      <c r="Y461" s="41"/>
      <c r="Z461" s="41"/>
      <c r="AA461" s="41"/>
      <c r="AB461" s="41"/>
      <c r="AC461" s="41"/>
    </row>
    <row r="462" ht="15.75" customHeight="1">
      <c r="A462" s="82" t="s">
        <v>122</v>
      </c>
      <c r="B462" s="82" t="s">
        <v>2289</v>
      </c>
      <c r="C462" s="82" t="s">
        <v>140</v>
      </c>
      <c r="D462" s="82" t="s">
        <v>1718</v>
      </c>
      <c r="E462" s="82" t="s">
        <v>1719</v>
      </c>
      <c r="F462" s="82" t="s">
        <v>1720</v>
      </c>
      <c r="G462" s="82" t="s">
        <v>1721</v>
      </c>
      <c r="H462" s="82" t="s">
        <v>1722</v>
      </c>
      <c r="I462" s="41"/>
      <c r="J462" s="82" t="s">
        <v>1723</v>
      </c>
      <c r="K462" s="82" t="s">
        <v>1724</v>
      </c>
      <c r="L462" s="82" t="s">
        <v>2290</v>
      </c>
      <c r="M462" s="83" t="s">
        <v>2291</v>
      </c>
      <c r="N462" s="74" t="b">
        <v>0</v>
      </c>
      <c r="O462" s="74" t="b">
        <v>0</v>
      </c>
      <c r="P462" s="74" t="b">
        <v>0</v>
      </c>
      <c r="Q462" s="82" t="s">
        <v>319</v>
      </c>
      <c r="R462" s="83" t="s">
        <v>803</v>
      </c>
      <c r="S462" s="82" t="s">
        <v>1728</v>
      </c>
      <c r="T462" s="41"/>
      <c r="U462" s="41"/>
      <c r="V462" s="41"/>
      <c r="W462" s="41"/>
      <c r="X462" s="41"/>
      <c r="Y462" s="41"/>
      <c r="Z462" s="41"/>
      <c r="AA462" s="41"/>
      <c r="AB462" s="41"/>
      <c r="AC462" s="41"/>
    </row>
    <row r="463" ht="15.75" customHeight="1">
      <c r="A463" s="82" t="s">
        <v>122</v>
      </c>
      <c r="B463" s="82" t="s">
        <v>2292</v>
      </c>
      <c r="C463" s="82" t="s">
        <v>140</v>
      </c>
      <c r="D463" s="82" t="s">
        <v>1718</v>
      </c>
      <c r="E463" s="82" t="s">
        <v>1719</v>
      </c>
      <c r="F463" s="82" t="s">
        <v>1720</v>
      </c>
      <c r="G463" s="82" t="s">
        <v>1721</v>
      </c>
      <c r="H463" s="82" t="s">
        <v>1722</v>
      </c>
      <c r="I463" s="41"/>
      <c r="J463" s="82" t="s">
        <v>1723</v>
      </c>
      <c r="K463" s="82" t="s">
        <v>1724</v>
      </c>
      <c r="L463" s="82" t="s">
        <v>2293</v>
      </c>
      <c r="M463" s="83" t="s">
        <v>2294</v>
      </c>
      <c r="N463" s="74" t="b">
        <v>0</v>
      </c>
      <c r="O463" s="74" t="b">
        <v>0</v>
      </c>
      <c r="P463" s="74" t="b">
        <v>0</v>
      </c>
      <c r="Q463" s="82" t="s">
        <v>319</v>
      </c>
      <c r="R463" s="83" t="s">
        <v>2238</v>
      </c>
      <c r="S463" s="82" t="s">
        <v>1728</v>
      </c>
      <c r="T463" s="41"/>
      <c r="U463" s="41"/>
      <c r="V463" s="41"/>
      <c r="W463" s="41"/>
      <c r="X463" s="41"/>
      <c r="Y463" s="41"/>
      <c r="Z463" s="41"/>
      <c r="AA463" s="41"/>
      <c r="AB463" s="41"/>
      <c r="AC463" s="41"/>
    </row>
    <row r="464" ht="15.75" customHeight="1">
      <c r="A464" s="82" t="s">
        <v>122</v>
      </c>
      <c r="B464" s="82" t="s">
        <v>2295</v>
      </c>
      <c r="C464" s="82" t="s">
        <v>140</v>
      </c>
      <c r="D464" s="82" t="s">
        <v>1718</v>
      </c>
      <c r="E464" s="82" t="s">
        <v>1719</v>
      </c>
      <c r="F464" s="82" t="s">
        <v>1746</v>
      </c>
      <c r="G464" s="82" t="s">
        <v>1721</v>
      </c>
      <c r="H464" s="82" t="s">
        <v>1722</v>
      </c>
      <c r="I464" s="41"/>
      <c r="J464" s="82" t="s">
        <v>1723</v>
      </c>
      <c r="K464" s="82" t="s">
        <v>1724</v>
      </c>
      <c r="L464" s="82" t="s">
        <v>2296</v>
      </c>
      <c r="M464" s="83" t="s">
        <v>2297</v>
      </c>
      <c r="N464" s="74" t="b">
        <v>0</v>
      </c>
      <c r="O464" s="74" t="b">
        <v>0</v>
      </c>
      <c r="P464" s="74" t="b">
        <v>0</v>
      </c>
      <c r="Q464" s="82" t="s">
        <v>319</v>
      </c>
      <c r="R464" s="83" t="s">
        <v>2238</v>
      </c>
      <c r="S464" s="82" t="s">
        <v>1728</v>
      </c>
      <c r="T464" s="41"/>
      <c r="U464" s="41"/>
      <c r="V464" s="41"/>
      <c r="W464" s="41"/>
      <c r="X464" s="41"/>
      <c r="Y464" s="41"/>
      <c r="Z464" s="41"/>
      <c r="AA464" s="41"/>
      <c r="AB464" s="41"/>
      <c r="AC464" s="41"/>
    </row>
    <row r="465" ht="15.75" customHeight="1">
      <c r="A465" s="82" t="s">
        <v>122</v>
      </c>
      <c r="B465" s="82" t="s">
        <v>2298</v>
      </c>
      <c r="C465" s="82" t="s">
        <v>140</v>
      </c>
      <c r="D465" s="82" t="s">
        <v>1718</v>
      </c>
      <c r="E465" s="82" t="s">
        <v>1719</v>
      </c>
      <c r="F465" s="82" t="s">
        <v>1746</v>
      </c>
      <c r="G465" s="82" t="s">
        <v>1721</v>
      </c>
      <c r="H465" s="82" t="s">
        <v>1722</v>
      </c>
      <c r="I465" s="41"/>
      <c r="J465" s="82" t="s">
        <v>1723</v>
      </c>
      <c r="K465" s="82" t="s">
        <v>1724</v>
      </c>
      <c r="L465" s="82" t="s">
        <v>2299</v>
      </c>
      <c r="M465" s="83" t="s">
        <v>2300</v>
      </c>
      <c r="N465" s="74" t="b">
        <v>0</v>
      </c>
      <c r="O465" s="74" t="b">
        <v>0</v>
      </c>
      <c r="P465" s="74" t="b">
        <v>0</v>
      </c>
      <c r="Q465" s="82" t="s">
        <v>319</v>
      </c>
      <c r="R465" s="83" t="s">
        <v>803</v>
      </c>
      <c r="S465" s="82" t="s">
        <v>1728</v>
      </c>
      <c r="T465" s="41"/>
      <c r="U465" s="41"/>
      <c r="V465" s="41"/>
      <c r="W465" s="41"/>
      <c r="X465" s="41"/>
      <c r="Y465" s="41"/>
      <c r="Z465" s="41"/>
      <c r="AA465" s="41"/>
      <c r="AB465" s="41"/>
      <c r="AC465" s="41"/>
    </row>
    <row r="466" ht="15.75" customHeight="1">
      <c r="A466" s="82" t="s">
        <v>122</v>
      </c>
      <c r="B466" s="82" t="s">
        <v>2301</v>
      </c>
      <c r="C466" s="82" t="s">
        <v>140</v>
      </c>
      <c r="D466" s="82" t="s">
        <v>1718</v>
      </c>
      <c r="E466" s="82" t="s">
        <v>1719</v>
      </c>
      <c r="F466" s="82" t="s">
        <v>1754</v>
      </c>
      <c r="G466" s="82" t="s">
        <v>1721</v>
      </c>
      <c r="H466" s="82" t="s">
        <v>1722</v>
      </c>
      <c r="I466" s="41"/>
      <c r="J466" s="82" t="s">
        <v>1723</v>
      </c>
      <c r="K466" s="82" t="s">
        <v>1724</v>
      </c>
      <c r="L466" s="82" t="s">
        <v>2248</v>
      </c>
      <c r="M466" s="83" t="s">
        <v>2302</v>
      </c>
      <c r="N466" s="74" t="b">
        <v>0</v>
      </c>
      <c r="O466" s="74" t="b">
        <v>0</v>
      </c>
      <c r="P466" s="74" t="b">
        <v>0</v>
      </c>
      <c r="Q466" s="82" t="s">
        <v>319</v>
      </c>
      <c r="R466" s="83" t="s">
        <v>803</v>
      </c>
      <c r="S466" s="82" t="s">
        <v>1728</v>
      </c>
      <c r="T466" s="41"/>
      <c r="U466" s="41"/>
      <c r="V466" s="41"/>
      <c r="W466" s="41"/>
      <c r="X466" s="41"/>
      <c r="Y466" s="41"/>
      <c r="Z466" s="41"/>
      <c r="AA466" s="41"/>
      <c r="AB466" s="41"/>
      <c r="AC466" s="41"/>
    </row>
    <row r="467" ht="15.75" customHeight="1">
      <c r="A467" s="82" t="s">
        <v>122</v>
      </c>
      <c r="B467" s="82" t="s">
        <v>2303</v>
      </c>
      <c r="C467" s="82" t="s">
        <v>140</v>
      </c>
      <c r="D467" s="82" t="s">
        <v>1718</v>
      </c>
      <c r="E467" s="82" t="s">
        <v>1719</v>
      </c>
      <c r="F467" s="82" t="s">
        <v>1754</v>
      </c>
      <c r="G467" s="82" t="s">
        <v>1721</v>
      </c>
      <c r="H467" s="82" t="s">
        <v>1722</v>
      </c>
      <c r="I467" s="41"/>
      <c r="J467" s="82" t="s">
        <v>1723</v>
      </c>
      <c r="K467" s="82" t="s">
        <v>1724</v>
      </c>
      <c r="L467" s="82" t="s">
        <v>2236</v>
      </c>
      <c r="M467" s="83" t="s">
        <v>2304</v>
      </c>
      <c r="N467" s="74" t="b">
        <v>0</v>
      </c>
      <c r="O467" s="74" t="b">
        <v>0</v>
      </c>
      <c r="P467" s="74" t="b">
        <v>0</v>
      </c>
      <c r="Q467" s="82" t="s">
        <v>319</v>
      </c>
      <c r="R467" s="83" t="s">
        <v>2238</v>
      </c>
      <c r="S467" s="82" t="s">
        <v>1728</v>
      </c>
      <c r="T467" s="41"/>
      <c r="U467" s="41"/>
      <c r="V467" s="41"/>
      <c r="W467" s="41"/>
      <c r="X467" s="41"/>
      <c r="Y467" s="41"/>
      <c r="Z467" s="41"/>
      <c r="AA467" s="41"/>
      <c r="AB467" s="41"/>
      <c r="AC467" s="41"/>
    </row>
    <row r="468" ht="15.75" customHeight="1">
      <c r="A468" s="82" t="s">
        <v>122</v>
      </c>
      <c r="B468" s="82" t="s">
        <v>2305</v>
      </c>
      <c r="C468" s="82" t="s">
        <v>140</v>
      </c>
      <c r="D468" s="82" t="s">
        <v>1718</v>
      </c>
      <c r="E468" s="82" t="s">
        <v>1719</v>
      </c>
      <c r="F468" s="82" t="s">
        <v>1746</v>
      </c>
      <c r="G468" s="82" t="s">
        <v>1721</v>
      </c>
      <c r="H468" s="82" t="s">
        <v>1722</v>
      </c>
      <c r="I468" s="41"/>
      <c r="J468" s="82" t="s">
        <v>1723</v>
      </c>
      <c r="K468" s="82" t="s">
        <v>1724</v>
      </c>
      <c r="L468" s="82" t="s">
        <v>2284</v>
      </c>
      <c r="M468" s="83" t="s">
        <v>2306</v>
      </c>
      <c r="N468" s="74" t="b">
        <v>0</v>
      </c>
      <c r="O468" s="74" t="b">
        <v>0</v>
      </c>
      <c r="P468" s="74" t="b">
        <v>0</v>
      </c>
      <c r="Q468" s="82" t="s">
        <v>319</v>
      </c>
      <c r="R468" s="83" t="s">
        <v>2238</v>
      </c>
      <c r="S468" s="82" t="s">
        <v>1728</v>
      </c>
      <c r="T468" s="41"/>
      <c r="U468" s="41"/>
      <c r="V468" s="41"/>
      <c r="W468" s="41"/>
      <c r="X468" s="41"/>
      <c r="Y468" s="41"/>
      <c r="Z468" s="41"/>
      <c r="AA468" s="41"/>
      <c r="AB468" s="41"/>
      <c r="AC468" s="41"/>
    </row>
    <row r="469" ht="15.75" customHeight="1">
      <c r="A469" s="82" t="s">
        <v>122</v>
      </c>
      <c r="B469" s="82" t="s">
        <v>2307</v>
      </c>
      <c r="C469" s="82" t="s">
        <v>140</v>
      </c>
      <c r="D469" s="82" t="s">
        <v>1718</v>
      </c>
      <c r="E469" s="82" t="s">
        <v>1719</v>
      </c>
      <c r="F469" s="82" t="s">
        <v>1720</v>
      </c>
      <c r="G469" s="82" t="s">
        <v>1721</v>
      </c>
      <c r="H469" s="82" t="s">
        <v>1722</v>
      </c>
      <c r="I469" s="41"/>
      <c r="J469" s="82" t="s">
        <v>1723</v>
      </c>
      <c r="K469" s="82" t="s">
        <v>1724</v>
      </c>
      <c r="L469" s="82" t="s">
        <v>2308</v>
      </c>
      <c r="M469" s="83" t="s">
        <v>2309</v>
      </c>
      <c r="N469" s="74" t="b">
        <v>0</v>
      </c>
      <c r="O469" s="74" t="b">
        <v>0</v>
      </c>
      <c r="P469" s="74" t="b">
        <v>0</v>
      </c>
      <c r="Q469" s="82" t="s">
        <v>319</v>
      </c>
      <c r="R469" s="83" t="s">
        <v>2238</v>
      </c>
      <c r="S469" s="82" t="s">
        <v>1728</v>
      </c>
      <c r="T469" s="41"/>
      <c r="U469" s="41"/>
      <c r="V469" s="41"/>
      <c r="W469" s="41"/>
      <c r="X469" s="41"/>
      <c r="Y469" s="41"/>
      <c r="Z469" s="41"/>
      <c r="AA469" s="41"/>
      <c r="AB469" s="41"/>
      <c r="AC469" s="41"/>
    </row>
    <row r="470" ht="15.75" customHeight="1">
      <c r="A470" s="82" t="s">
        <v>122</v>
      </c>
      <c r="B470" s="82" t="s">
        <v>2310</v>
      </c>
      <c r="C470" s="82" t="s">
        <v>140</v>
      </c>
      <c r="D470" s="82" t="s">
        <v>1718</v>
      </c>
      <c r="E470" s="82" t="s">
        <v>1719</v>
      </c>
      <c r="F470" s="82" t="s">
        <v>1730</v>
      </c>
      <c r="G470" s="82" t="s">
        <v>1721</v>
      </c>
      <c r="H470" s="82" t="s">
        <v>1722</v>
      </c>
      <c r="I470" s="41"/>
      <c r="J470" s="82" t="s">
        <v>1723</v>
      </c>
      <c r="K470" s="82" t="s">
        <v>1724</v>
      </c>
      <c r="L470" s="82" t="s">
        <v>2275</v>
      </c>
      <c r="M470" s="83" t="s">
        <v>2311</v>
      </c>
      <c r="N470" s="74" t="b">
        <v>0</v>
      </c>
      <c r="O470" s="74" t="b">
        <v>0</v>
      </c>
      <c r="P470" s="74" t="b">
        <v>0</v>
      </c>
      <c r="Q470" s="82" t="s">
        <v>319</v>
      </c>
      <c r="R470" s="83" t="s">
        <v>2238</v>
      </c>
      <c r="S470" s="82" t="s">
        <v>1728</v>
      </c>
      <c r="T470" s="41"/>
      <c r="U470" s="41"/>
      <c r="V470" s="41"/>
      <c r="W470" s="41"/>
      <c r="X470" s="41"/>
      <c r="Y470" s="41"/>
      <c r="Z470" s="41"/>
      <c r="AA470" s="41"/>
      <c r="AB470" s="41"/>
      <c r="AC470" s="41"/>
    </row>
    <row r="471" ht="15.75" customHeight="1">
      <c r="A471" s="82" t="s">
        <v>122</v>
      </c>
      <c r="B471" s="82" t="s">
        <v>2312</v>
      </c>
      <c r="C471" s="82" t="s">
        <v>140</v>
      </c>
      <c r="D471" s="82" t="s">
        <v>1718</v>
      </c>
      <c r="E471" s="82" t="s">
        <v>1719</v>
      </c>
      <c r="F471" s="82" t="s">
        <v>1746</v>
      </c>
      <c r="G471" s="82" t="s">
        <v>1721</v>
      </c>
      <c r="H471" s="82" t="s">
        <v>1722</v>
      </c>
      <c r="I471" s="41"/>
      <c r="J471" s="82" t="s">
        <v>1723</v>
      </c>
      <c r="K471" s="82" t="s">
        <v>1724</v>
      </c>
      <c r="L471" s="82" t="s">
        <v>2313</v>
      </c>
      <c r="M471" s="83" t="s">
        <v>2314</v>
      </c>
      <c r="N471" s="74" t="b">
        <v>0</v>
      </c>
      <c r="O471" s="74" t="b">
        <v>0</v>
      </c>
      <c r="P471" s="74" t="b">
        <v>0</v>
      </c>
      <c r="Q471" s="82" t="s">
        <v>319</v>
      </c>
      <c r="R471" s="83" t="s">
        <v>2238</v>
      </c>
      <c r="S471" s="82" t="s">
        <v>1728</v>
      </c>
      <c r="T471" s="41"/>
      <c r="U471" s="41"/>
      <c r="V471" s="41"/>
      <c r="W471" s="41"/>
      <c r="X471" s="41"/>
      <c r="Y471" s="41"/>
      <c r="Z471" s="41"/>
      <c r="AA471" s="41"/>
      <c r="AB471" s="41"/>
      <c r="AC471" s="41"/>
    </row>
    <row r="472" ht="15.75" customHeight="1">
      <c r="A472" s="82" t="s">
        <v>122</v>
      </c>
      <c r="B472" s="82" t="s">
        <v>2315</v>
      </c>
      <c r="C472" s="82" t="s">
        <v>140</v>
      </c>
      <c r="D472" s="82" t="s">
        <v>1718</v>
      </c>
      <c r="E472" s="82" t="s">
        <v>1719</v>
      </c>
      <c r="F472" s="82" t="s">
        <v>1746</v>
      </c>
      <c r="G472" s="82" t="s">
        <v>1721</v>
      </c>
      <c r="H472" s="82" t="s">
        <v>1722</v>
      </c>
      <c r="I472" s="41"/>
      <c r="J472" s="82" t="s">
        <v>1723</v>
      </c>
      <c r="K472" s="82" t="s">
        <v>1724</v>
      </c>
      <c r="L472" s="82" t="s">
        <v>2316</v>
      </c>
      <c r="M472" s="83" t="s">
        <v>2317</v>
      </c>
      <c r="N472" s="74" t="b">
        <v>0</v>
      </c>
      <c r="O472" s="74" t="b">
        <v>0</v>
      </c>
      <c r="P472" s="74" t="b">
        <v>0</v>
      </c>
      <c r="Q472" s="82" t="s">
        <v>319</v>
      </c>
      <c r="R472" s="83" t="s">
        <v>2238</v>
      </c>
      <c r="S472" s="82" t="s">
        <v>1728</v>
      </c>
      <c r="T472" s="41"/>
      <c r="U472" s="41"/>
      <c r="V472" s="41"/>
      <c r="W472" s="41"/>
      <c r="X472" s="41"/>
      <c r="Y472" s="41"/>
      <c r="Z472" s="41"/>
      <c r="AA472" s="41"/>
      <c r="AB472" s="41"/>
      <c r="AC472" s="41"/>
    </row>
    <row r="473" ht="15.75" customHeight="1">
      <c r="A473" s="82" t="s">
        <v>122</v>
      </c>
      <c r="B473" s="82" t="s">
        <v>2318</v>
      </c>
      <c r="C473" s="82" t="s">
        <v>140</v>
      </c>
      <c r="D473" s="82" t="s">
        <v>1718</v>
      </c>
      <c r="E473" s="82" t="s">
        <v>1719</v>
      </c>
      <c r="F473" s="82" t="s">
        <v>1720</v>
      </c>
      <c r="G473" s="82" t="s">
        <v>1721</v>
      </c>
      <c r="H473" s="82" t="s">
        <v>1722</v>
      </c>
      <c r="I473" s="41"/>
      <c r="J473" s="82" t="s">
        <v>1723</v>
      </c>
      <c r="K473" s="82" t="s">
        <v>1724</v>
      </c>
      <c r="L473" s="82" t="s">
        <v>2319</v>
      </c>
      <c r="M473" s="83" t="s">
        <v>2320</v>
      </c>
      <c r="N473" s="74" t="b">
        <v>0</v>
      </c>
      <c r="O473" s="74" t="b">
        <v>0</v>
      </c>
      <c r="P473" s="74" t="b">
        <v>0</v>
      </c>
      <c r="Q473" s="82" t="s">
        <v>319</v>
      </c>
      <c r="R473" s="83" t="s">
        <v>803</v>
      </c>
      <c r="S473" s="82" t="s">
        <v>1728</v>
      </c>
      <c r="T473" s="41"/>
      <c r="U473" s="41"/>
      <c r="V473" s="41"/>
      <c r="W473" s="41"/>
      <c r="X473" s="41"/>
      <c r="Y473" s="41"/>
      <c r="Z473" s="41"/>
      <c r="AA473" s="41"/>
      <c r="AB473" s="41"/>
      <c r="AC473" s="41"/>
    </row>
    <row r="474" ht="15.75" customHeight="1">
      <c r="A474" s="82" t="s">
        <v>122</v>
      </c>
      <c r="B474" s="82" t="s">
        <v>2321</v>
      </c>
      <c r="C474" s="82" t="s">
        <v>140</v>
      </c>
      <c r="D474" s="82" t="s">
        <v>1718</v>
      </c>
      <c r="E474" s="82" t="s">
        <v>1719</v>
      </c>
      <c r="F474" s="82" t="s">
        <v>1754</v>
      </c>
      <c r="G474" s="82" t="s">
        <v>1721</v>
      </c>
      <c r="H474" s="82" t="s">
        <v>1722</v>
      </c>
      <c r="I474" s="41"/>
      <c r="J474" s="82" t="s">
        <v>1723</v>
      </c>
      <c r="K474" s="82" t="s">
        <v>1724</v>
      </c>
      <c r="L474" s="82" t="s">
        <v>1827</v>
      </c>
      <c r="M474" s="83" t="s">
        <v>2322</v>
      </c>
      <c r="N474" s="74" t="b">
        <v>0</v>
      </c>
      <c r="O474" s="74" t="b">
        <v>0</v>
      </c>
      <c r="P474" s="74" t="b">
        <v>0</v>
      </c>
      <c r="Q474" s="82" t="s">
        <v>319</v>
      </c>
      <c r="R474" s="83" t="s">
        <v>803</v>
      </c>
      <c r="S474" s="82" t="s">
        <v>1728</v>
      </c>
      <c r="T474" s="41"/>
      <c r="U474" s="41"/>
      <c r="V474" s="41"/>
      <c r="W474" s="41"/>
      <c r="X474" s="41"/>
      <c r="Y474" s="41"/>
      <c r="Z474" s="41"/>
      <c r="AA474" s="41"/>
      <c r="AB474" s="41"/>
      <c r="AC474" s="41"/>
    </row>
    <row r="475" ht="15.75" customHeight="1">
      <c r="A475" s="82" t="s">
        <v>122</v>
      </c>
      <c r="B475" s="82" t="s">
        <v>2323</v>
      </c>
      <c r="C475" s="82" t="s">
        <v>2324</v>
      </c>
      <c r="D475" s="82" t="s">
        <v>1718</v>
      </c>
      <c r="E475" s="82" t="s">
        <v>1719</v>
      </c>
      <c r="F475" s="82" t="s">
        <v>1746</v>
      </c>
      <c r="G475" s="82" t="s">
        <v>1721</v>
      </c>
      <c r="H475" s="82" t="s">
        <v>1722</v>
      </c>
      <c r="I475" s="41"/>
      <c r="J475" s="82" t="s">
        <v>1723</v>
      </c>
      <c r="K475" s="82" t="s">
        <v>1724</v>
      </c>
      <c r="L475" s="82" t="s">
        <v>2325</v>
      </c>
      <c r="M475" s="83" t="s">
        <v>2326</v>
      </c>
      <c r="N475" s="74" t="b">
        <v>0</v>
      </c>
      <c r="O475" s="74" t="b">
        <v>0</v>
      </c>
      <c r="P475" s="74" t="b">
        <v>0</v>
      </c>
      <c r="Q475" s="82" t="s">
        <v>319</v>
      </c>
      <c r="R475" s="83" t="s">
        <v>2177</v>
      </c>
      <c r="S475" s="82" t="s">
        <v>1728</v>
      </c>
      <c r="T475" s="41"/>
      <c r="U475" s="41"/>
      <c r="V475" s="41"/>
      <c r="W475" s="41"/>
      <c r="X475" s="41"/>
      <c r="Y475" s="41"/>
      <c r="Z475" s="41"/>
      <c r="AA475" s="41"/>
      <c r="AB475" s="41"/>
      <c r="AC475" s="41"/>
    </row>
    <row r="476" ht="15.75" customHeight="1">
      <c r="A476" s="82" t="s">
        <v>122</v>
      </c>
      <c r="B476" s="82" t="s">
        <v>2327</v>
      </c>
      <c r="C476" s="82" t="s">
        <v>2324</v>
      </c>
      <c r="D476" s="82" t="s">
        <v>1718</v>
      </c>
      <c r="E476" s="82" t="s">
        <v>1719</v>
      </c>
      <c r="F476" s="82" t="s">
        <v>1746</v>
      </c>
      <c r="G476" s="82" t="s">
        <v>1721</v>
      </c>
      <c r="H476" s="82" t="s">
        <v>1722</v>
      </c>
      <c r="I476" s="41"/>
      <c r="J476" s="82" t="s">
        <v>1723</v>
      </c>
      <c r="K476" s="82" t="s">
        <v>1724</v>
      </c>
      <c r="L476" s="82" t="s">
        <v>2328</v>
      </c>
      <c r="M476" s="83" t="s">
        <v>2329</v>
      </c>
      <c r="N476" s="74" t="b">
        <v>0</v>
      </c>
      <c r="O476" s="74" t="b">
        <v>0</v>
      </c>
      <c r="P476" s="74" t="b">
        <v>0</v>
      </c>
      <c r="Q476" s="82" t="s">
        <v>319</v>
      </c>
      <c r="R476" s="83" t="s">
        <v>2177</v>
      </c>
      <c r="S476" s="82" t="s">
        <v>1728</v>
      </c>
      <c r="T476" s="41"/>
      <c r="U476" s="41"/>
      <c r="V476" s="41"/>
      <c r="W476" s="41"/>
      <c r="X476" s="41"/>
      <c r="Y476" s="41"/>
      <c r="Z476" s="41"/>
      <c r="AA476" s="41"/>
      <c r="AB476" s="41"/>
      <c r="AC476" s="41"/>
    </row>
    <row r="477" ht="15.75" customHeight="1">
      <c r="A477" s="82" t="s">
        <v>122</v>
      </c>
      <c r="B477" s="82" t="s">
        <v>2330</v>
      </c>
      <c r="C477" s="82" t="s">
        <v>2324</v>
      </c>
      <c r="D477" s="82" t="s">
        <v>1718</v>
      </c>
      <c r="E477" s="82" t="s">
        <v>1719</v>
      </c>
      <c r="F477" s="82" t="s">
        <v>1720</v>
      </c>
      <c r="G477" s="82" t="s">
        <v>1721</v>
      </c>
      <c r="H477" s="82" t="s">
        <v>1722</v>
      </c>
      <c r="I477" s="41"/>
      <c r="J477" s="82" t="s">
        <v>1723</v>
      </c>
      <c r="K477" s="82" t="s">
        <v>1724</v>
      </c>
      <c r="L477" s="82" t="s">
        <v>2331</v>
      </c>
      <c r="M477" s="83" t="s">
        <v>2332</v>
      </c>
      <c r="N477" s="74" t="b">
        <v>0</v>
      </c>
      <c r="O477" s="74" t="b">
        <v>0</v>
      </c>
      <c r="P477" s="74" t="b">
        <v>0</v>
      </c>
      <c r="Q477" s="82" t="s">
        <v>319</v>
      </c>
      <c r="R477" s="83" t="s">
        <v>2333</v>
      </c>
      <c r="S477" s="82" t="s">
        <v>1728</v>
      </c>
      <c r="T477" s="41"/>
      <c r="U477" s="41"/>
      <c r="V477" s="41"/>
      <c r="W477" s="41"/>
      <c r="X477" s="41"/>
      <c r="Y477" s="41"/>
      <c r="Z477" s="41"/>
      <c r="AA477" s="41"/>
      <c r="AB477" s="41"/>
      <c r="AC477" s="41"/>
    </row>
    <row r="478" ht="15.75" customHeight="1">
      <c r="A478" s="82" t="s">
        <v>122</v>
      </c>
      <c r="B478" s="82" t="s">
        <v>2334</v>
      </c>
      <c r="C478" s="82" t="s">
        <v>2335</v>
      </c>
      <c r="D478" s="82" t="s">
        <v>1718</v>
      </c>
      <c r="E478" s="82" t="s">
        <v>1719</v>
      </c>
      <c r="F478" s="82" t="s">
        <v>1720</v>
      </c>
      <c r="G478" s="82" t="s">
        <v>1721</v>
      </c>
      <c r="H478" s="82" t="s">
        <v>1722</v>
      </c>
      <c r="I478" s="41"/>
      <c r="J478" s="82" t="s">
        <v>1723</v>
      </c>
      <c r="K478" s="82" t="s">
        <v>1724</v>
      </c>
      <c r="L478" s="82" t="s">
        <v>2336</v>
      </c>
      <c r="M478" s="83" t="s">
        <v>2337</v>
      </c>
      <c r="N478" s="74" t="b">
        <v>0</v>
      </c>
      <c r="O478" s="74" t="b">
        <v>0</v>
      </c>
      <c r="P478" s="74" t="b">
        <v>0</v>
      </c>
      <c r="Q478" s="82" t="s">
        <v>319</v>
      </c>
      <c r="R478" s="83" t="s">
        <v>2338</v>
      </c>
      <c r="S478" s="82" t="s">
        <v>1728</v>
      </c>
      <c r="T478" s="41"/>
      <c r="U478" s="41"/>
      <c r="V478" s="41"/>
      <c r="W478" s="41"/>
      <c r="X478" s="41"/>
      <c r="Y478" s="41"/>
      <c r="Z478" s="41"/>
      <c r="AA478" s="41"/>
      <c r="AB478" s="41"/>
      <c r="AC478" s="41"/>
    </row>
    <row r="479" ht="15.75" customHeight="1">
      <c r="A479" s="82" t="s">
        <v>122</v>
      </c>
      <c r="B479" s="82" t="s">
        <v>2339</v>
      </c>
      <c r="C479" s="82" t="s">
        <v>2335</v>
      </c>
      <c r="D479" s="82" t="s">
        <v>1718</v>
      </c>
      <c r="E479" s="82" t="s">
        <v>1719</v>
      </c>
      <c r="F479" s="82" t="s">
        <v>1754</v>
      </c>
      <c r="G479" s="82" t="s">
        <v>1721</v>
      </c>
      <c r="H479" s="82" t="s">
        <v>1722</v>
      </c>
      <c r="I479" s="41"/>
      <c r="J479" s="82" t="s">
        <v>1723</v>
      </c>
      <c r="K479" s="82" t="s">
        <v>1724</v>
      </c>
      <c r="L479" s="82" t="s">
        <v>2248</v>
      </c>
      <c r="M479" s="83" t="s">
        <v>2340</v>
      </c>
      <c r="N479" s="74" t="b">
        <v>0</v>
      </c>
      <c r="O479" s="74" t="b">
        <v>0</v>
      </c>
      <c r="P479" s="74" t="b">
        <v>0</v>
      </c>
      <c r="Q479" s="82" t="s">
        <v>319</v>
      </c>
      <c r="R479" s="83" t="s">
        <v>2338</v>
      </c>
      <c r="S479" s="82" t="s">
        <v>1728</v>
      </c>
      <c r="T479" s="41"/>
      <c r="U479" s="41"/>
      <c r="V479" s="41"/>
      <c r="W479" s="41"/>
      <c r="X479" s="41"/>
      <c r="Y479" s="41"/>
      <c r="Z479" s="41"/>
      <c r="AA479" s="41"/>
      <c r="AB479" s="41"/>
      <c r="AC479" s="41"/>
    </row>
    <row r="480" ht="15.75" customHeight="1">
      <c r="A480" s="82" t="s">
        <v>122</v>
      </c>
      <c r="B480" s="82" t="s">
        <v>2341</v>
      </c>
      <c r="C480" s="82" t="s">
        <v>2342</v>
      </c>
      <c r="D480" s="82" t="s">
        <v>1718</v>
      </c>
      <c r="E480" s="82" t="s">
        <v>1719</v>
      </c>
      <c r="F480" s="82" t="s">
        <v>1754</v>
      </c>
      <c r="G480" s="82" t="s">
        <v>1721</v>
      </c>
      <c r="H480" s="82" t="s">
        <v>1722</v>
      </c>
      <c r="I480" s="41"/>
      <c r="J480" s="82" t="s">
        <v>1723</v>
      </c>
      <c r="K480" s="82" t="s">
        <v>1724</v>
      </c>
      <c r="L480" s="82" t="s">
        <v>2236</v>
      </c>
      <c r="M480" s="83" t="s">
        <v>2343</v>
      </c>
      <c r="N480" s="74" t="b">
        <v>0</v>
      </c>
      <c r="O480" s="74" t="b">
        <v>0</v>
      </c>
      <c r="P480" s="74" t="b">
        <v>0</v>
      </c>
      <c r="Q480" s="82" t="s">
        <v>319</v>
      </c>
      <c r="R480" s="83" t="s">
        <v>2177</v>
      </c>
      <c r="S480" s="82" t="s">
        <v>1728</v>
      </c>
      <c r="T480" s="41"/>
      <c r="U480" s="41"/>
      <c r="V480" s="41"/>
      <c r="W480" s="41"/>
      <c r="X480" s="41"/>
      <c r="Y480" s="41"/>
      <c r="Z480" s="41"/>
      <c r="AA480" s="41"/>
      <c r="AB480" s="41"/>
      <c r="AC480" s="41"/>
    </row>
    <row r="481" ht="15.75" customHeight="1">
      <c r="A481" s="82" t="s">
        <v>122</v>
      </c>
      <c r="B481" s="82" t="s">
        <v>2344</v>
      </c>
      <c r="C481" s="82" t="s">
        <v>46</v>
      </c>
      <c r="D481" s="82" t="s">
        <v>1609</v>
      </c>
      <c r="E481" s="82" t="s">
        <v>1719</v>
      </c>
      <c r="F481" s="82" t="s">
        <v>1720</v>
      </c>
      <c r="G481" s="82" t="s">
        <v>1721</v>
      </c>
      <c r="H481" s="82" t="s">
        <v>2010</v>
      </c>
      <c r="I481" s="41"/>
      <c r="J481" s="82" t="s">
        <v>1723</v>
      </c>
      <c r="K481" s="82" t="s">
        <v>1724</v>
      </c>
      <c r="L481" s="82" t="s">
        <v>2345</v>
      </c>
      <c r="M481" s="83" t="s">
        <v>2346</v>
      </c>
      <c r="N481" s="74" t="b">
        <v>0</v>
      </c>
      <c r="O481" s="74" t="b">
        <v>0</v>
      </c>
      <c r="P481" s="74" t="b">
        <v>0</v>
      </c>
      <c r="Q481" s="82" t="s">
        <v>319</v>
      </c>
      <c r="R481" s="83" t="s">
        <v>1727</v>
      </c>
      <c r="S481" s="82" t="s">
        <v>2013</v>
      </c>
      <c r="T481" s="41"/>
      <c r="U481" s="41"/>
      <c r="V481" s="41"/>
      <c r="W481" s="41"/>
      <c r="X481" s="41"/>
      <c r="Y481" s="41"/>
      <c r="Z481" s="41"/>
      <c r="AA481" s="41"/>
      <c r="AB481" s="41"/>
      <c r="AC481" s="41"/>
    </row>
    <row r="482" ht="15.75" customHeight="1">
      <c r="A482" s="82" t="s">
        <v>123</v>
      </c>
      <c r="B482" s="82" t="s">
        <v>2347</v>
      </c>
      <c r="C482" s="82" t="s">
        <v>1357</v>
      </c>
      <c r="D482" s="82" t="s">
        <v>1718</v>
      </c>
      <c r="E482" s="82" t="s">
        <v>1719</v>
      </c>
      <c r="F482" s="82" t="s">
        <v>1730</v>
      </c>
      <c r="G482" s="82" t="s">
        <v>1721</v>
      </c>
      <c r="H482" s="82" t="s">
        <v>1722</v>
      </c>
      <c r="I482" s="41"/>
      <c r="J482" s="82" t="s">
        <v>1723</v>
      </c>
      <c r="K482" s="82" t="s">
        <v>1724</v>
      </c>
      <c r="L482" s="82" t="s">
        <v>1915</v>
      </c>
      <c r="M482" s="83" t="s">
        <v>2348</v>
      </c>
      <c r="N482" s="74" t="b">
        <v>0</v>
      </c>
      <c r="O482" s="74" t="b">
        <v>0</v>
      </c>
      <c r="P482" s="74" t="b">
        <v>0</v>
      </c>
      <c r="Q482" s="82" t="s">
        <v>341</v>
      </c>
      <c r="R482" s="83" t="s">
        <v>2349</v>
      </c>
      <c r="S482" s="82" t="s">
        <v>1728</v>
      </c>
      <c r="T482" s="41"/>
      <c r="U482" s="41"/>
      <c r="V482" s="41"/>
      <c r="W482" s="41"/>
      <c r="X482" s="41"/>
      <c r="Y482" s="41"/>
      <c r="Z482" s="41"/>
      <c r="AA482" s="41"/>
      <c r="AB482" s="41"/>
      <c r="AC482" s="41"/>
    </row>
    <row r="483" ht="15.75" customHeight="1">
      <c r="A483" s="82" t="s">
        <v>123</v>
      </c>
      <c r="B483" s="82" t="s">
        <v>2350</v>
      </c>
      <c r="C483" s="82" t="s">
        <v>1357</v>
      </c>
      <c r="D483" s="82" t="s">
        <v>1718</v>
      </c>
      <c r="E483" s="82" t="s">
        <v>1719</v>
      </c>
      <c r="F483" s="82" t="s">
        <v>1754</v>
      </c>
      <c r="G483" s="82" t="s">
        <v>1721</v>
      </c>
      <c r="H483" s="82" t="s">
        <v>1722</v>
      </c>
      <c r="I483" s="41"/>
      <c r="J483" s="82" t="s">
        <v>1723</v>
      </c>
      <c r="K483" s="82" t="s">
        <v>1724</v>
      </c>
      <c r="L483" s="82" t="s">
        <v>2351</v>
      </c>
      <c r="M483" s="83" t="s">
        <v>2352</v>
      </c>
      <c r="N483" s="74" t="b">
        <v>0</v>
      </c>
      <c r="O483" s="74" t="b">
        <v>0</v>
      </c>
      <c r="P483" s="74" t="b">
        <v>0</v>
      </c>
      <c r="Q483" s="82" t="s">
        <v>341</v>
      </c>
      <c r="R483" s="83" t="s">
        <v>2349</v>
      </c>
      <c r="S483" s="82" t="s">
        <v>1728</v>
      </c>
      <c r="T483" s="41"/>
      <c r="U483" s="41"/>
      <c r="V483" s="41"/>
      <c r="W483" s="41"/>
      <c r="X483" s="41"/>
      <c r="Y483" s="41"/>
      <c r="Z483" s="41"/>
      <c r="AA483" s="41"/>
      <c r="AB483" s="41"/>
      <c r="AC483" s="41"/>
    </row>
    <row r="484" ht="15.75" customHeight="1">
      <c r="A484" s="82" t="s">
        <v>123</v>
      </c>
      <c r="B484" s="82" t="s">
        <v>2353</v>
      </c>
      <c r="C484" s="82" t="s">
        <v>1357</v>
      </c>
      <c r="D484" s="82" t="s">
        <v>1718</v>
      </c>
      <c r="E484" s="82" t="s">
        <v>1719</v>
      </c>
      <c r="F484" s="82" t="s">
        <v>1730</v>
      </c>
      <c r="G484" s="82" t="s">
        <v>1721</v>
      </c>
      <c r="H484" s="82" t="s">
        <v>1722</v>
      </c>
      <c r="I484" s="41"/>
      <c r="J484" s="82" t="s">
        <v>1723</v>
      </c>
      <c r="K484" s="82" t="s">
        <v>1724</v>
      </c>
      <c r="L484" s="82" t="s">
        <v>1915</v>
      </c>
      <c r="M484" s="83" t="s">
        <v>2354</v>
      </c>
      <c r="N484" s="74" t="b">
        <v>0</v>
      </c>
      <c r="O484" s="74" t="b">
        <v>0</v>
      </c>
      <c r="P484" s="74" t="b">
        <v>0</v>
      </c>
      <c r="Q484" s="82" t="s">
        <v>341</v>
      </c>
      <c r="R484" s="83" t="s">
        <v>2349</v>
      </c>
      <c r="S484" s="82" t="s">
        <v>1728</v>
      </c>
      <c r="T484" s="41"/>
      <c r="U484" s="41"/>
      <c r="V484" s="41"/>
      <c r="W484" s="41"/>
      <c r="X484" s="41"/>
      <c r="Y484" s="41"/>
      <c r="Z484" s="41"/>
      <c r="AA484" s="41"/>
      <c r="AB484" s="41"/>
      <c r="AC484" s="41"/>
    </row>
    <row r="485" ht="15.75" customHeight="1">
      <c r="A485" s="82" t="s">
        <v>123</v>
      </c>
      <c r="B485" s="82" t="s">
        <v>2355</v>
      </c>
      <c r="C485" s="82" t="s">
        <v>97</v>
      </c>
      <c r="D485" s="82" t="s">
        <v>1718</v>
      </c>
      <c r="E485" s="82" t="s">
        <v>1719</v>
      </c>
      <c r="F485" s="82" t="s">
        <v>1730</v>
      </c>
      <c r="G485" s="82" t="s">
        <v>1721</v>
      </c>
      <c r="H485" s="82" t="s">
        <v>1722</v>
      </c>
      <c r="I485" s="41"/>
      <c r="J485" s="82" t="s">
        <v>1723</v>
      </c>
      <c r="K485" s="82" t="s">
        <v>1724</v>
      </c>
      <c r="L485" s="82" t="s">
        <v>2356</v>
      </c>
      <c r="M485" s="83" t="s">
        <v>2357</v>
      </c>
      <c r="N485" s="74" t="b">
        <v>0</v>
      </c>
      <c r="O485" s="74" t="b">
        <v>0</v>
      </c>
      <c r="P485" s="74" t="b">
        <v>0</v>
      </c>
      <c r="Q485" s="82" t="s">
        <v>341</v>
      </c>
      <c r="R485" s="83" t="s">
        <v>2221</v>
      </c>
      <c r="S485" s="82" t="s">
        <v>1728</v>
      </c>
      <c r="T485" s="41"/>
      <c r="U485" s="41"/>
      <c r="V485" s="41"/>
      <c r="W485" s="41"/>
      <c r="X485" s="41"/>
      <c r="Y485" s="41"/>
      <c r="Z485" s="41"/>
      <c r="AA485" s="41"/>
      <c r="AB485" s="41"/>
      <c r="AC485" s="41"/>
    </row>
    <row r="486" ht="15.75" customHeight="1">
      <c r="A486" s="82" t="s">
        <v>123</v>
      </c>
      <c r="B486" s="82" t="s">
        <v>2358</v>
      </c>
      <c r="C486" s="82" t="s">
        <v>97</v>
      </c>
      <c r="D486" s="82" t="s">
        <v>1718</v>
      </c>
      <c r="E486" s="82" t="s">
        <v>1719</v>
      </c>
      <c r="F486" s="82" t="s">
        <v>1720</v>
      </c>
      <c r="G486" s="82" t="s">
        <v>1721</v>
      </c>
      <c r="H486" s="82" t="s">
        <v>1722</v>
      </c>
      <c r="I486" s="41"/>
      <c r="J486" s="82" t="s">
        <v>1723</v>
      </c>
      <c r="K486" s="82" t="s">
        <v>1724</v>
      </c>
      <c r="L486" s="82" t="s">
        <v>2359</v>
      </c>
      <c r="M486" s="83" t="s">
        <v>2360</v>
      </c>
      <c r="N486" s="74" t="b">
        <v>0</v>
      </c>
      <c r="O486" s="74" t="b">
        <v>0</v>
      </c>
      <c r="P486" s="74" t="b">
        <v>0</v>
      </c>
      <c r="Q486" s="82" t="s">
        <v>341</v>
      </c>
      <c r="R486" s="83" t="s">
        <v>2221</v>
      </c>
      <c r="S486" s="82" t="s">
        <v>1728</v>
      </c>
      <c r="T486" s="41"/>
      <c r="U486" s="41"/>
      <c r="V486" s="41"/>
      <c r="W486" s="41"/>
      <c r="X486" s="41"/>
      <c r="Y486" s="41"/>
      <c r="Z486" s="41"/>
      <c r="AA486" s="41"/>
      <c r="AB486" s="41"/>
      <c r="AC486" s="41"/>
    </row>
    <row r="487" ht="15.75" customHeight="1">
      <c r="A487" s="82" t="s">
        <v>123</v>
      </c>
      <c r="B487" s="82" t="s">
        <v>2361</v>
      </c>
      <c r="C487" s="82" t="s">
        <v>97</v>
      </c>
      <c r="D487" s="82" t="s">
        <v>1718</v>
      </c>
      <c r="E487" s="82" t="s">
        <v>1719</v>
      </c>
      <c r="F487" s="82" t="s">
        <v>1720</v>
      </c>
      <c r="G487" s="82" t="s">
        <v>1721</v>
      </c>
      <c r="H487" s="82" t="s">
        <v>1722</v>
      </c>
      <c r="I487" s="41"/>
      <c r="J487" s="82" t="s">
        <v>1723</v>
      </c>
      <c r="K487" s="82" t="s">
        <v>1724</v>
      </c>
      <c r="L487" s="82" t="s">
        <v>2362</v>
      </c>
      <c r="M487" s="83" t="s">
        <v>2363</v>
      </c>
      <c r="N487" s="74" t="b">
        <v>0</v>
      </c>
      <c r="O487" s="74" t="b">
        <v>0</v>
      </c>
      <c r="P487" s="74" t="b">
        <v>0</v>
      </c>
      <c r="Q487" s="82" t="s">
        <v>341</v>
      </c>
      <c r="R487" s="83" t="s">
        <v>2221</v>
      </c>
      <c r="S487" s="82" t="s">
        <v>1728</v>
      </c>
      <c r="T487" s="41"/>
      <c r="U487" s="41"/>
      <c r="V487" s="41"/>
      <c r="W487" s="41"/>
      <c r="X487" s="41"/>
      <c r="Y487" s="41"/>
      <c r="Z487" s="41"/>
      <c r="AA487" s="41"/>
      <c r="AB487" s="41"/>
      <c r="AC487" s="41"/>
    </row>
    <row r="488" ht="15.75" customHeight="1">
      <c r="A488" s="82" t="s">
        <v>123</v>
      </c>
      <c r="B488" s="82" t="s">
        <v>2364</v>
      </c>
      <c r="C488" s="82" t="s">
        <v>97</v>
      </c>
      <c r="D488" s="82" t="s">
        <v>1718</v>
      </c>
      <c r="E488" s="82" t="s">
        <v>1719</v>
      </c>
      <c r="F488" s="82" t="s">
        <v>1720</v>
      </c>
      <c r="G488" s="82" t="s">
        <v>1721</v>
      </c>
      <c r="H488" s="82" t="s">
        <v>1722</v>
      </c>
      <c r="I488" s="41"/>
      <c r="J488" s="82" t="s">
        <v>1723</v>
      </c>
      <c r="K488" s="82" t="s">
        <v>1724</v>
      </c>
      <c r="L488" s="82" t="s">
        <v>2359</v>
      </c>
      <c r="M488" s="83" t="s">
        <v>2365</v>
      </c>
      <c r="N488" s="74" t="b">
        <v>0</v>
      </c>
      <c r="O488" s="74" t="b">
        <v>0</v>
      </c>
      <c r="P488" s="74" t="b">
        <v>0</v>
      </c>
      <c r="Q488" s="82" t="s">
        <v>341</v>
      </c>
      <c r="R488" s="83" t="s">
        <v>2221</v>
      </c>
      <c r="S488" s="82" t="s">
        <v>1728</v>
      </c>
      <c r="T488" s="41"/>
      <c r="U488" s="41"/>
      <c r="V488" s="41"/>
      <c r="W488" s="41"/>
      <c r="X488" s="41"/>
      <c r="Y488" s="41"/>
      <c r="Z488" s="41"/>
      <c r="AA488" s="41"/>
      <c r="AB488" s="41"/>
      <c r="AC488" s="41"/>
    </row>
    <row r="489" ht="15.75" customHeight="1">
      <c r="A489" s="82" t="s">
        <v>123</v>
      </c>
      <c r="B489" s="82" t="s">
        <v>2366</v>
      </c>
      <c r="C489" s="82" t="s">
        <v>97</v>
      </c>
      <c r="D489" s="82" t="s">
        <v>1718</v>
      </c>
      <c r="E489" s="82" t="s">
        <v>1719</v>
      </c>
      <c r="F489" s="82" t="s">
        <v>1730</v>
      </c>
      <c r="G489" s="82" t="s">
        <v>1721</v>
      </c>
      <c r="H489" s="82" t="s">
        <v>1722</v>
      </c>
      <c r="I489" s="41"/>
      <c r="J489" s="82" t="s">
        <v>1723</v>
      </c>
      <c r="K489" s="82" t="s">
        <v>1724</v>
      </c>
      <c r="L489" s="82" t="s">
        <v>2356</v>
      </c>
      <c r="M489" s="83" t="s">
        <v>2367</v>
      </c>
      <c r="N489" s="74" t="b">
        <v>0</v>
      </c>
      <c r="O489" s="74" t="b">
        <v>0</v>
      </c>
      <c r="P489" s="74" t="b">
        <v>0</v>
      </c>
      <c r="Q489" s="82" t="s">
        <v>341</v>
      </c>
      <c r="R489" s="83" t="s">
        <v>2221</v>
      </c>
      <c r="S489" s="82" t="s">
        <v>1728</v>
      </c>
      <c r="T489" s="41"/>
      <c r="U489" s="41"/>
      <c r="V489" s="41"/>
      <c r="W489" s="41"/>
      <c r="X489" s="41"/>
      <c r="Y489" s="41"/>
      <c r="Z489" s="41"/>
      <c r="AA489" s="41"/>
      <c r="AB489" s="41"/>
      <c r="AC489" s="41"/>
    </row>
    <row r="490" ht="15.75" customHeight="1">
      <c r="A490" s="82" t="s">
        <v>123</v>
      </c>
      <c r="B490" s="82" t="s">
        <v>2368</v>
      </c>
      <c r="C490" s="82" t="s">
        <v>97</v>
      </c>
      <c r="D490" s="82" t="s">
        <v>1718</v>
      </c>
      <c r="E490" s="82" t="s">
        <v>1719</v>
      </c>
      <c r="F490" s="82" t="s">
        <v>1720</v>
      </c>
      <c r="G490" s="82" t="s">
        <v>1721</v>
      </c>
      <c r="H490" s="82" t="s">
        <v>1722</v>
      </c>
      <c r="I490" s="41"/>
      <c r="J490" s="82" t="s">
        <v>1723</v>
      </c>
      <c r="K490" s="82" t="s">
        <v>1724</v>
      </c>
      <c r="L490" s="82" t="s">
        <v>2369</v>
      </c>
      <c r="M490" s="83" t="s">
        <v>2370</v>
      </c>
      <c r="N490" s="74" t="b">
        <v>0</v>
      </c>
      <c r="O490" s="74" t="b">
        <v>0</v>
      </c>
      <c r="P490" s="74" t="b">
        <v>0</v>
      </c>
      <c r="Q490" s="82" t="s">
        <v>341</v>
      </c>
      <c r="R490" s="83" t="s">
        <v>2221</v>
      </c>
      <c r="S490" s="82" t="s">
        <v>1728</v>
      </c>
      <c r="T490" s="41"/>
      <c r="U490" s="41"/>
      <c r="V490" s="41"/>
      <c r="W490" s="41"/>
      <c r="X490" s="41"/>
      <c r="Y490" s="41"/>
      <c r="Z490" s="41"/>
      <c r="AA490" s="41"/>
      <c r="AB490" s="41"/>
      <c r="AC490" s="41"/>
    </row>
    <row r="491" ht="15.75" customHeight="1">
      <c r="A491" s="82" t="s">
        <v>123</v>
      </c>
      <c r="B491" s="82" t="s">
        <v>2371</v>
      </c>
      <c r="C491" s="82" t="s">
        <v>97</v>
      </c>
      <c r="D491" s="82" t="s">
        <v>1718</v>
      </c>
      <c r="E491" s="82" t="s">
        <v>1719</v>
      </c>
      <c r="F491" s="82" t="s">
        <v>1730</v>
      </c>
      <c r="G491" s="82" t="s">
        <v>1721</v>
      </c>
      <c r="H491" s="82" t="s">
        <v>1722</v>
      </c>
      <c r="I491" s="41"/>
      <c r="J491" s="82" t="s">
        <v>1723</v>
      </c>
      <c r="K491" s="82" t="s">
        <v>1724</v>
      </c>
      <c r="L491" s="82" t="s">
        <v>2356</v>
      </c>
      <c r="M491" s="83" t="s">
        <v>2372</v>
      </c>
      <c r="N491" s="74" t="b">
        <v>0</v>
      </c>
      <c r="O491" s="74" t="b">
        <v>0</v>
      </c>
      <c r="P491" s="74" t="b">
        <v>0</v>
      </c>
      <c r="Q491" s="82" t="s">
        <v>341</v>
      </c>
      <c r="R491" s="83" t="s">
        <v>2221</v>
      </c>
      <c r="S491" s="82" t="s">
        <v>1728</v>
      </c>
      <c r="T491" s="41"/>
      <c r="U491" s="41"/>
      <c r="V491" s="41"/>
      <c r="W491" s="41"/>
      <c r="X491" s="41"/>
      <c r="Y491" s="41"/>
      <c r="Z491" s="41"/>
      <c r="AA491" s="41"/>
      <c r="AB491" s="41"/>
      <c r="AC491" s="41"/>
    </row>
    <row r="492" ht="15.75" customHeight="1">
      <c r="A492" s="82" t="s">
        <v>123</v>
      </c>
      <c r="B492" s="82" t="s">
        <v>2373</v>
      </c>
      <c r="C492" s="82" t="s">
        <v>148</v>
      </c>
      <c r="D492" s="82" t="s">
        <v>1718</v>
      </c>
      <c r="E492" s="82" t="s">
        <v>1719</v>
      </c>
      <c r="F492" s="82" t="s">
        <v>1720</v>
      </c>
      <c r="G492" s="82" t="s">
        <v>1721</v>
      </c>
      <c r="H492" s="82" t="s">
        <v>1722</v>
      </c>
      <c r="I492" s="41"/>
      <c r="J492" s="82" t="s">
        <v>1723</v>
      </c>
      <c r="K492" s="82" t="s">
        <v>1724</v>
      </c>
      <c r="L492" s="82" t="s">
        <v>2374</v>
      </c>
      <c r="M492" s="83" t="s">
        <v>2375</v>
      </c>
      <c r="N492" s="74" t="b">
        <v>0</v>
      </c>
      <c r="O492" s="74" t="b">
        <v>0</v>
      </c>
      <c r="P492" s="74" t="b">
        <v>0</v>
      </c>
      <c r="Q492" s="82" t="s">
        <v>341</v>
      </c>
      <c r="R492" s="83" t="s">
        <v>2228</v>
      </c>
      <c r="S492" s="82" t="s">
        <v>1728</v>
      </c>
      <c r="T492" s="41"/>
      <c r="U492" s="41"/>
      <c r="V492" s="41"/>
      <c r="W492" s="41"/>
      <c r="X492" s="41"/>
      <c r="Y492" s="41"/>
      <c r="Z492" s="41"/>
      <c r="AA492" s="41"/>
      <c r="AB492" s="41"/>
      <c r="AC492" s="41"/>
    </row>
    <row r="493" ht="15.75" customHeight="1">
      <c r="A493" s="82" t="s">
        <v>123</v>
      </c>
      <c r="B493" s="82" t="s">
        <v>2376</v>
      </c>
      <c r="C493" s="82" t="s">
        <v>148</v>
      </c>
      <c r="D493" s="82" t="s">
        <v>1718</v>
      </c>
      <c r="E493" s="82" t="s">
        <v>1719</v>
      </c>
      <c r="F493" s="82" t="s">
        <v>1720</v>
      </c>
      <c r="G493" s="82" t="s">
        <v>1721</v>
      </c>
      <c r="H493" s="82" t="s">
        <v>1722</v>
      </c>
      <c r="I493" s="41"/>
      <c r="J493" s="82" t="s">
        <v>1723</v>
      </c>
      <c r="K493" s="82" t="s">
        <v>1724</v>
      </c>
      <c r="L493" s="82" t="s">
        <v>2377</v>
      </c>
      <c r="M493" s="83" t="s">
        <v>2378</v>
      </c>
      <c r="N493" s="74" t="b">
        <v>0</v>
      </c>
      <c r="O493" s="74" t="b">
        <v>0</v>
      </c>
      <c r="P493" s="74" t="b">
        <v>0</v>
      </c>
      <c r="Q493" s="82" t="s">
        <v>341</v>
      </c>
      <c r="R493" s="83" t="s">
        <v>2228</v>
      </c>
      <c r="S493" s="82" t="s">
        <v>1728</v>
      </c>
      <c r="T493" s="41"/>
      <c r="U493" s="41"/>
      <c r="V493" s="41"/>
      <c r="W493" s="41"/>
      <c r="X493" s="41"/>
      <c r="Y493" s="41"/>
      <c r="Z493" s="41"/>
      <c r="AA493" s="41"/>
      <c r="AB493" s="41"/>
      <c r="AC493" s="41"/>
    </row>
    <row r="494" ht="15.75" customHeight="1">
      <c r="A494" s="82" t="s">
        <v>123</v>
      </c>
      <c r="B494" s="82" t="s">
        <v>2379</v>
      </c>
      <c r="C494" s="82" t="s">
        <v>155</v>
      </c>
      <c r="D494" s="82" t="s">
        <v>1718</v>
      </c>
      <c r="E494" s="82" t="s">
        <v>1719</v>
      </c>
      <c r="F494" s="82" t="s">
        <v>1730</v>
      </c>
      <c r="G494" s="82" t="s">
        <v>1721</v>
      </c>
      <c r="H494" s="82" t="s">
        <v>1722</v>
      </c>
      <c r="I494" s="41"/>
      <c r="J494" s="82" t="s">
        <v>1723</v>
      </c>
      <c r="K494" s="82" t="s">
        <v>1724</v>
      </c>
      <c r="L494" s="82" t="s">
        <v>2199</v>
      </c>
      <c r="M494" s="83" t="s">
        <v>2380</v>
      </c>
      <c r="N494" s="74" t="b">
        <v>0</v>
      </c>
      <c r="O494" s="74" t="b">
        <v>0</v>
      </c>
      <c r="P494" s="74" t="b">
        <v>0</v>
      </c>
      <c r="Q494" s="82" t="s">
        <v>341</v>
      </c>
      <c r="R494" s="83" t="s">
        <v>2381</v>
      </c>
      <c r="S494" s="82" t="s">
        <v>1728</v>
      </c>
      <c r="T494" s="41"/>
      <c r="U494" s="41"/>
      <c r="V494" s="41"/>
      <c r="W494" s="41"/>
      <c r="X494" s="41"/>
      <c r="Y494" s="41"/>
      <c r="Z494" s="41"/>
      <c r="AA494" s="41"/>
      <c r="AB494" s="41"/>
      <c r="AC494" s="41"/>
    </row>
    <row r="495" ht="15.75" customHeight="1">
      <c r="A495" s="82" t="s">
        <v>123</v>
      </c>
      <c r="B495" s="82" t="s">
        <v>2382</v>
      </c>
      <c r="C495" s="82" t="s">
        <v>155</v>
      </c>
      <c r="D495" s="82" t="s">
        <v>1718</v>
      </c>
      <c r="E495" s="82" t="s">
        <v>1719</v>
      </c>
      <c r="F495" s="82" t="s">
        <v>1720</v>
      </c>
      <c r="G495" s="82" t="s">
        <v>1721</v>
      </c>
      <c r="H495" s="82" t="s">
        <v>1722</v>
      </c>
      <c r="I495" s="41"/>
      <c r="J495" s="82" t="s">
        <v>1723</v>
      </c>
      <c r="K495" s="82" t="s">
        <v>1724</v>
      </c>
      <c r="L495" s="82" t="s">
        <v>2147</v>
      </c>
      <c r="M495" s="83" t="s">
        <v>2383</v>
      </c>
      <c r="N495" s="74" t="b">
        <v>0</v>
      </c>
      <c r="O495" s="74" t="b">
        <v>0</v>
      </c>
      <c r="P495" s="74" t="b">
        <v>0</v>
      </c>
      <c r="Q495" s="82" t="s">
        <v>341</v>
      </c>
      <c r="R495" s="83" t="s">
        <v>2381</v>
      </c>
      <c r="S495" s="82" t="s">
        <v>1728</v>
      </c>
      <c r="T495" s="41"/>
      <c r="U495" s="41"/>
      <c r="V495" s="41"/>
      <c r="W495" s="41"/>
      <c r="X495" s="41"/>
      <c r="Y495" s="41"/>
      <c r="Z495" s="41"/>
      <c r="AA495" s="41"/>
      <c r="AB495" s="41"/>
      <c r="AC495" s="41"/>
    </row>
    <row r="496" ht="15.75" customHeight="1">
      <c r="A496" s="82" t="s">
        <v>123</v>
      </c>
      <c r="B496" s="82" t="s">
        <v>2384</v>
      </c>
      <c r="C496" s="82" t="s">
        <v>155</v>
      </c>
      <c r="D496" s="82" t="s">
        <v>1718</v>
      </c>
      <c r="E496" s="82" t="s">
        <v>1719</v>
      </c>
      <c r="F496" s="82" t="s">
        <v>1720</v>
      </c>
      <c r="G496" s="82" t="s">
        <v>1721</v>
      </c>
      <c r="H496" s="82" t="s">
        <v>1722</v>
      </c>
      <c r="I496" s="41"/>
      <c r="J496" s="82" t="s">
        <v>1723</v>
      </c>
      <c r="K496" s="82" t="s">
        <v>1724</v>
      </c>
      <c r="L496" s="82" t="s">
        <v>2147</v>
      </c>
      <c r="M496" s="83" t="s">
        <v>2385</v>
      </c>
      <c r="N496" s="74" t="b">
        <v>0</v>
      </c>
      <c r="O496" s="74" t="b">
        <v>0</v>
      </c>
      <c r="P496" s="74" t="b">
        <v>0</v>
      </c>
      <c r="Q496" s="82" t="s">
        <v>341</v>
      </c>
      <c r="R496" s="83" t="s">
        <v>2381</v>
      </c>
      <c r="S496" s="82" t="s">
        <v>1728</v>
      </c>
      <c r="T496" s="41"/>
      <c r="U496" s="41"/>
      <c r="V496" s="41"/>
      <c r="W496" s="41"/>
      <c r="X496" s="41"/>
      <c r="Y496" s="41"/>
      <c r="Z496" s="41"/>
      <c r="AA496" s="41"/>
      <c r="AB496" s="41"/>
      <c r="AC496" s="41"/>
    </row>
    <row r="497" ht="15.75" customHeight="1">
      <c r="A497" s="82" t="s">
        <v>123</v>
      </c>
      <c r="B497" s="82" t="s">
        <v>2386</v>
      </c>
      <c r="C497" s="82" t="s">
        <v>2387</v>
      </c>
      <c r="D497" s="82" t="s">
        <v>1718</v>
      </c>
      <c r="E497" s="82" t="s">
        <v>1719</v>
      </c>
      <c r="F497" s="82" t="s">
        <v>1730</v>
      </c>
      <c r="G497" s="82" t="s">
        <v>1721</v>
      </c>
      <c r="H497" s="82" t="s">
        <v>1722</v>
      </c>
      <c r="I497" s="41"/>
      <c r="J497" s="82" t="s">
        <v>1723</v>
      </c>
      <c r="K497" s="82" t="s">
        <v>1724</v>
      </c>
      <c r="L497" s="82" t="s">
        <v>2209</v>
      </c>
      <c r="M497" s="83" t="s">
        <v>2388</v>
      </c>
      <c r="N497" s="74" t="b">
        <v>0</v>
      </c>
      <c r="O497" s="74" t="b">
        <v>0</v>
      </c>
      <c r="P497" s="74" t="b">
        <v>0</v>
      </c>
      <c r="Q497" s="82" t="s">
        <v>341</v>
      </c>
      <c r="R497" s="83" t="s">
        <v>2389</v>
      </c>
      <c r="S497" s="82" t="s">
        <v>1728</v>
      </c>
      <c r="T497" s="41"/>
      <c r="U497" s="41"/>
      <c r="V497" s="41"/>
      <c r="W497" s="41"/>
      <c r="X497" s="41"/>
      <c r="Y497" s="41"/>
      <c r="Z497" s="41"/>
      <c r="AA497" s="41"/>
      <c r="AB497" s="41"/>
      <c r="AC497" s="41"/>
    </row>
    <row r="498" ht="15.75" customHeight="1">
      <c r="A498" s="82" t="s">
        <v>123</v>
      </c>
      <c r="B498" s="82" t="s">
        <v>2390</v>
      </c>
      <c r="C498" s="82" t="s">
        <v>2387</v>
      </c>
      <c r="D498" s="82" t="s">
        <v>1718</v>
      </c>
      <c r="E498" s="82" t="s">
        <v>1719</v>
      </c>
      <c r="F498" s="82" t="s">
        <v>1720</v>
      </c>
      <c r="G498" s="82" t="s">
        <v>1721</v>
      </c>
      <c r="H498" s="82" t="s">
        <v>1722</v>
      </c>
      <c r="I498" s="41"/>
      <c r="J498" s="82" t="s">
        <v>1723</v>
      </c>
      <c r="K498" s="82" t="s">
        <v>1724</v>
      </c>
      <c r="L498" s="82" t="s">
        <v>2147</v>
      </c>
      <c r="M498" s="83" t="s">
        <v>2391</v>
      </c>
      <c r="N498" s="74" t="b">
        <v>0</v>
      </c>
      <c r="O498" s="74" t="b">
        <v>0</v>
      </c>
      <c r="P498" s="74" t="b">
        <v>0</v>
      </c>
      <c r="Q498" s="82" t="s">
        <v>341</v>
      </c>
      <c r="R498" s="83" t="s">
        <v>2389</v>
      </c>
      <c r="S498" s="82" t="s">
        <v>1728</v>
      </c>
      <c r="T498" s="41"/>
      <c r="U498" s="41"/>
      <c r="V498" s="41"/>
      <c r="W498" s="41"/>
      <c r="X498" s="41"/>
      <c r="Y498" s="41"/>
      <c r="Z498" s="41"/>
      <c r="AA498" s="41"/>
      <c r="AB498" s="41"/>
      <c r="AC498" s="41"/>
    </row>
    <row r="499" ht="15.75" customHeight="1">
      <c r="A499" s="82" t="s">
        <v>123</v>
      </c>
      <c r="B499" s="82" t="s">
        <v>2392</v>
      </c>
      <c r="C499" s="82" t="s">
        <v>2387</v>
      </c>
      <c r="D499" s="82" t="s">
        <v>1718</v>
      </c>
      <c r="E499" s="82" t="s">
        <v>1719</v>
      </c>
      <c r="F499" s="82" t="s">
        <v>1720</v>
      </c>
      <c r="G499" s="82" t="s">
        <v>1721</v>
      </c>
      <c r="H499" s="82" t="s">
        <v>1722</v>
      </c>
      <c r="I499" s="41"/>
      <c r="J499" s="82" t="s">
        <v>1723</v>
      </c>
      <c r="K499" s="82" t="s">
        <v>1724</v>
      </c>
      <c r="L499" s="82" t="s">
        <v>2393</v>
      </c>
      <c r="M499" s="83" t="s">
        <v>2394</v>
      </c>
      <c r="N499" s="74" t="b">
        <v>0</v>
      </c>
      <c r="O499" s="74" t="b">
        <v>0</v>
      </c>
      <c r="P499" s="74" t="b">
        <v>0</v>
      </c>
      <c r="Q499" s="82" t="s">
        <v>341</v>
      </c>
      <c r="R499" s="83" t="s">
        <v>2389</v>
      </c>
      <c r="S499" s="82" t="s">
        <v>1728</v>
      </c>
      <c r="T499" s="41"/>
      <c r="U499" s="41"/>
      <c r="V499" s="41"/>
      <c r="W499" s="41"/>
      <c r="X499" s="41"/>
      <c r="Y499" s="41"/>
      <c r="Z499" s="41"/>
      <c r="AA499" s="41"/>
      <c r="AB499" s="41"/>
      <c r="AC499" s="41"/>
    </row>
    <row r="500" ht="15.75" customHeight="1">
      <c r="A500" s="82" t="s">
        <v>123</v>
      </c>
      <c r="B500" s="82" t="s">
        <v>2395</v>
      </c>
      <c r="C500" s="82" t="s">
        <v>140</v>
      </c>
      <c r="D500" s="82" t="s">
        <v>1718</v>
      </c>
      <c r="E500" s="82" t="s">
        <v>1719</v>
      </c>
      <c r="F500" s="82" t="s">
        <v>1754</v>
      </c>
      <c r="G500" s="82" t="s">
        <v>1721</v>
      </c>
      <c r="H500" s="82" t="s">
        <v>1722</v>
      </c>
      <c r="I500" s="41"/>
      <c r="J500" s="82" t="s">
        <v>1723</v>
      </c>
      <c r="K500" s="82" t="s">
        <v>1724</v>
      </c>
      <c r="L500" s="82" t="s">
        <v>2396</v>
      </c>
      <c r="M500" s="83" t="s">
        <v>2397</v>
      </c>
      <c r="N500" s="74" t="b">
        <v>0</v>
      </c>
      <c r="O500" s="74" t="b">
        <v>0</v>
      </c>
      <c r="P500" s="74" t="b">
        <v>0</v>
      </c>
      <c r="Q500" s="82" t="s">
        <v>341</v>
      </c>
      <c r="R500" s="83" t="s">
        <v>803</v>
      </c>
      <c r="S500" s="82" t="s">
        <v>1728</v>
      </c>
      <c r="T500" s="41"/>
      <c r="U500" s="41"/>
      <c r="V500" s="41"/>
      <c r="W500" s="41"/>
      <c r="X500" s="41"/>
      <c r="Y500" s="41"/>
      <c r="Z500" s="41"/>
      <c r="AA500" s="41"/>
      <c r="AB500" s="41"/>
      <c r="AC500" s="41"/>
    </row>
    <row r="501" ht="15.75" customHeight="1">
      <c r="A501" s="82" t="s">
        <v>123</v>
      </c>
      <c r="B501" s="82" t="s">
        <v>2398</v>
      </c>
      <c r="C501" s="82" t="s">
        <v>140</v>
      </c>
      <c r="D501" s="82" t="s">
        <v>1718</v>
      </c>
      <c r="E501" s="82" t="s">
        <v>1719</v>
      </c>
      <c r="F501" s="82" t="s">
        <v>1730</v>
      </c>
      <c r="G501" s="82" t="s">
        <v>1721</v>
      </c>
      <c r="H501" s="82" t="s">
        <v>1722</v>
      </c>
      <c r="I501" s="41"/>
      <c r="J501" s="82" t="s">
        <v>1723</v>
      </c>
      <c r="K501" s="82" t="s">
        <v>1724</v>
      </c>
      <c r="L501" s="82" t="s">
        <v>2199</v>
      </c>
      <c r="M501" s="83" t="s">
        <v>2399</v>
      </c>
      <c r="N501" s="74" t="b">
        <v>0</v>
      </c>
      <c r="O501" s="74" t="b">
        <v>0</v>
      </c>
      <c r="P501" s="74" t="b">
        <v>0</v>
      </c>
      <c r="Q501" s="82" t="s">
        <v>341</v>
      </c>
      <c r="R501" s="83" t="s">
        <v>803</v>
      </c>
      <c r="S501" s="82" t="s">
        <v>1728</v>
      </c>
      <c r="T501" s="41"/>
      <c r="U501" s="41"/>
      <c r="V501" s="41"/>
      <c r="W501" s="41"/>
      <c r="X501" s="41"/>
      <c r="Y501" s="41"/>
      <c r="Z501" s="41"/>
      <c r="AA501" s="41"/>
      <c r="AB501" s="41"/>
      <c r="AC501" s="41"/>
    </row>
    <row r="502" ht="15.75" customHeight="1">
      <c r="A502" s="82" t="s">
        <v>123</v>
      </c>
      <c r="B502" s="82" t="s">
        <v>2400</v>
      </c>
      <c r="C502" s="82" t="s">
        <v>140</v>
      </c>
      <c r="D502" s="82" t="s">
        <v>1718</v>
      </c>
      <c r="E502" s="82" t="s">
        <v>1719</v>
      </c>
      <c r="F502" s="82" t="s">
        <v>1754</v>
      </c>
      <c r="G502" s="82" t="s">
        <v>1721</v>
      </c>
      <c r="H502" s="82" t="s">
        <v>1722</v>
      </c>
      <c r="I502" s="41"/>
      <c r="J502" s="82" t="s">
        <v>1723</v>
      </c>
      <c r="K502" s="82" t="s">
        <v>1724</v>
      </c>
      <c r="L502" s="82" t="s">
        <v>2401</v>
      </c>
      <c r="M502" s="83" t="s">
        <v>2402</v>
      </c>
      <c r="N502" s="74" t="b">
        <v>0</v>
      </c>
      <c r="O502" s="74" t="b">
        <v>0</v>
      </c>
      <c r="P502" s="74" t="b">
        <v>0</v>
      </c>
      <c r="Q502" s="82" t="s">
        <v>341</v>
      </c>
      <c r="R502" s="83" t="s">
        <v>803</v>
      </c>
      <c r="S502" s="82" t="s">
        <v>1728</v>
      </c>
      <c r="T502" s="41"/>
      <c r="U502" s="41"/>
      <c r="V502" s="41"/>
      <c r="W502" s="41"/>
      <c r="X502" s="41"/>
      <c r="Y502" s="41"/>
      <c r="Z502" s="41"/>
      <c r="AA502" s="41"/>
      <c r="AB502" s="41"/>
      <c r="AC502" s="41"/>
    </row>
    <row r="503" ht="15.75" customHeight="1">
      <c r="A503" s="82" t="s">
        <v>123</v>
      </c>
      <c r="B503" s="82" t="s">
        <v>2403</v>
      </c>
      <c r="C503" s="82" t="s">
        <v>140</v>
      </c>
      <c r="D503" s="82" t="s">
        <v>1718</v>
      </c>
      <c r="E503" s="82" t="s">
        <v>1719</v>
      </c>
      <c r="F503" s="82" t="s">
        <v>1730</v>
      </c>
      <c r="G503" s="82" t="s">
        <v>1721</v>
      </c>
      <c r="H503" s="82" t="s">
        <v>1722</v>
      </c>
      <c r="I503" s="41"/>
      <c r="J503" s="82" t="s">
        <v>1723</v>
      </c>
      <c r="K503" s="82" t="s">
        <v>1724</v>
      </c>
      <c r="L503" s="82" t="s">
        <v>2404</v>
      </c>
      <c r="M503" s="83" t="s">
        <v>2405</v>
      </c>
      <c r="N503" s="74" t="b">
        <v>0</v>
      </c>
      <c r="O503" s="74" t="b">
        <v>0</v>
      </c>
      <c r="P503" s="74" t="b">
        <v>0</v>
      </c>
      <c r="Q503" s="82" t="s">
        <v>341</v>
      </c>
      <c r="R503" s="83" t="s">
        <v>803</v>
      </c>
      <c r="S503" s="82" t="s">
        <v>1728</v>
      </c>
      <c r="T503" s="41"/>
      <c r="U503" s="41"/>
      <c r="V503" s="41"/>
      <c r="W503" s="41"/>
      <c r="X503" s="41"/>
      <c r="Y503" s="41"/>
      <c r="Z503" s="41"/>
      <c r="AA503" s="41"/>
      <c r="AB503" s="41"/>
      <c r="AC503" s="41"/>
    </row>
    <row r="504" ht="15.75" customHeight="1">
      <c r="A504" s="82" t="s">
        <v>123</v>
      </c>
      <c r="B504" s="82" t="s">
        <v>2406</v>
      </c>
      <c r="C504" s="82" t="s">
        <v>140</v>
      </c>
      <c r="D504" s="82" t="s">
        <v>1718</v>
      </c>
      <c r="E504" s="82" t="s">
        <v>1719</v>
      </c>
      <c r="F504" s="82" t="s">
        <v>1720</v>
      </c>
      <c r="G504" s="82" t="s">
        <v>1721</v>
      </c>
      <c r="H504" s="82" t="s">
        <v>1722</v>
      </c>
      <c r="I504" s="41"/>
      <c r="J504" s="82" t="s">
        <v>1723</v>
      </c>
      <c r="K504" s="82" t="s">
        <v>1724</v>
      </c>
      <c r="L504" s="82" t="s">
        <v>2407</v>
      </c>
      <c r="M504" s="83" t="s">
        <v>2408</v>
      </c>
      <c r="N504" s="74" t="b">
        <v>0</v>
      </c>
      <c r="O504" s="74" t="b">
        <v>0</v>
      </c>
      <c r="P504" s="74" t="b">
        <v>0</v>
      </c>
      <c r="Q504" s="82" t="s">
        <v>341</v>
      </c>
      <c r="R504" s="83" t="s">
        <v>803</v>
      </c>
      <c r="S504" s="82" t="s">
        <v>1728</v>
      </c>
      <c r="T504" s="41"/>
      <c r="U504" s="41"/>
      <c r="V504" s="41"/>
      <c r="W504" s="41"/>
      <c r="X504" s="41"/>
      <c r="Y504" s="41"/>
      <c r="Z504" s="41"/>
      <c r="AA504" s="41"/>
      <c r="AB504" s="41"/>
      <c r="AC504" s="41"/>
    </row>
    <row r="505" ht="15.75" customHeight="1">
      <c r="A505" s="82" t="s">
        <v>123</v>
      </c>
      <c r="B505" s="82" t="s">
        <v>2409</v>
      </c>
      <c r="C505" s="82" t="s">
        <v>140</v>
      </c>
      <c r="D505" s="82" t="s">
        <v>1718</v>
      </c>
      <c r="E505" s="82" t="s">
        <v>1719</v>
      </c>
      <c r="F505" s="82" t="s">
        <v>1754</v>
      </c>
      <c r="G505" s="82" t="s">
        <v>1721</v>
      </c>
      <c r="H505" s="82" t="s">
        <v>1722</v>
      </c>
      <c r="I505" s="41"/>
      <c r="J505" s="82" t="s">
        <v>1723</v>
      </c>
      <c r="K505" s="82" t="s">
        <v>1724</v>
      </c>
      <c r="L505" s="82" t="s">
        <v>2410</v>
      </c>
      <c r="M505" s="83" t="s">
        <v>2411</v>
      </c>
      <c r="N505" s="74" t="b">
        <v>0</v>
      </c>
      <c r="O505" s="74" t="b">
        <v>0</v>
      </c>
      <c r="P505" s="74" t="b">
        <v>0</v>
      </c>
      <c r="Q505" s="82" t="s">
        <v>341</v>
      </c>
      <c r="R505" s="83" t="s">
        <v>803</v>
      </c>
      <c r="S505" s="82" t="s">
        <v>1728</v>
      </c>
      <c r="T505" s="41"/>
      <c r="U505" s="41"/>
      <c r="V505" s="41"/>
      <c r="W505" s="41"/>
      <c r="X505" s="41"/>
      <c r="Y505" s="41"/>
      <c r="Z505" s="41"/>
      <c r="AA505" s="41"/>
      <c r="AB505" s="41"/>
      <c r="AC505" s="41"/>
    </row>
    <row r="506" ht="15.75" customHeight="1">
      <c r="A506" s="82" t="s">
        <v>123</v>
      </c>
      <c r="B506" s="82" t="s">
        <v>2412</v>
      </c>
      <c r="C506" s="82" t="s">
        <v>140</v>
      </c>
      <c r="D506" s="82" t="s">
        <v>1718</v>
      </c>
      <c r="E506" s="82" t="s">
        <v>1719</v>
      </c>
      <c r="F506" s="82" t="s">
        <v>1720</v>
      </c>
      <c r="G506" s="82" t="s">
        <v>1721</v>
      </c>
      <c r="H506" s="82" t="s">
        <v>1722</v>
      </c>
      <c r="I506" s="41"/>
      <c r="J506" s="82" t="s">
        <v>1723</v>
      </c>
      <c r="K506" s="82" t="s">
        <v>1724</v>
      </c>
      <c r="L506" s="82" t="s">
        <v>2413</v>
      </c>
      <c r="M506" s="83" t="s">
        <v>2414</v>
      </c>
      <c r="N506" s="74" t="b">
        <v>0</v>
      </c>
      <c r="O506" s="74" t="b">
        <v>0</v>
      </c>
      <c r="P506" s="74" t="b">
        <v>0</v>
      </c>
      <c r="Q506" s="82" t="s">
        <v>341</v>
      </c>
      <c r="R506" s="83" t="s">
        <v>803</v>
      </c>
      <c r="S506" s="82" t="s">
        <v>1728</v>
      </c>
      <c r="T506" s="41"/>
      <c r="U506" s="41"/>
      <c r="V506" s="41"/>
      <c r="W506" s="41"/>
      <c r="X506" s="41"/>
      <c r="Y506" s="41"/>
      <c r="Z506" s="41"/>
      <c r="AA506" s="41"/>
      <c r="AB506" s="41"/>
      <c r="AC506" s="41"/>
    </row>
    <row r="507" ht="15.75" customHeight="1">
      <c r="A507" s="82" t="s">
        <v>123</v>
      </c>
      <c r="B507" s="82" t="s">
        <v>2415</v>
      </c>
      <c r="C507" s="82" t="s">
        <v>140</v>
      </c>
      <c r="D507" s="82" t="s">
        <v>1718</v>
      </c>
      <c r="E507" s="82" t="s">
        <v>1719</v>
      </c>
      <c r="F507" s="82" t="s">
        <v>1754</v>
      </c>
      <c r="G507" s="82" t="s">
        <v>1721</v>
      </c>
      <c r="H507" s="82" t="s">
        <v>1722</v>
      </c>
      <c r="I507" s="41"/>
      <c r="J507" s="82" t="s">
        <v>1723</v>
      </c>
      <c r="K507" s="82" t="s">
        <v>1724</v>
      </c>
      <c r="L507" s="82" t="s">
        <v>2416</v>
      </c>
      <c r="M507" s="83" t="s">
        <v>2417</v>
      </c>
      <c r="N507" s="74" t="b">
        <v>0</v>
      </c>
      <c r="O507" s="74" t="b">
        <v>0</v>
      </c>
      <c r="P507" s="74" t="b">
        <v>0</v>
      </c>
      <c r="Q507" s="82" t="s">
        <v>341</v>
      </c>
      <c r="R507" s="83" t="s">
        <v>803</v>
      </c>
      <c r="S507" s="82" t="s">
        <v>1728</v>
      </c>
      <c r="T507" s="41"/>
      <c r="U507" s="41"/>
      <c r="V507" s="41"/>
      <c r="W507" s="41"/>
      <c r="X507" s="41"/>
      <c r="Y507" s="41"/>
      <c r="Z507" s="41"/>
      <c r="AA507" s="41"/>
      <c r="AB507" s="41"/>
      <c r="AC507" s="41"/>
    </row>
    <row r="508" ht="15.75" customHeight="1">
      <c r="A508" s="82" t="s">
        <v>123</v>
      </c>
      <c r="B508" s="82" t="s">
        <v>2418</v>
      </c>
      <c r="C508" s="82" t="s">
        <v>140</v>
      </c>
      <c r="D508" s="82" t="s">
        <v>1718</v>
      </c>
      <c r="E508" s="82" t="s">
        <v>1719</v>
      </c>
      <c r="F508" s="82" t="s">
        <v>1720</v>
      </c>
      <c r="G508" s="82" t="s">
        <v>1721</v>
      </c>
      <c r="H508" s="82" t="s">
        <v>1722</v>
      </c>
      <c r="I508" s="41"/>
      <c r="J508" s="82" t="s">
        <v>1723</v>
      </c>
      <c r="K508" s="82" t="s">
        <v>1724</v>
      </c>
      <c r="L508" s="82" t="s">
        <v>2419</v>
      </c>
      <c r="M508" s="83" t="s">
        <v>2420</v>
      </c>
      <c r="N508" s="74" t="b">
        <v>0</v>
      </c>
      <c r="O508" s="74" t="b">
        <v>0</v>
      </c>
      <c r="P508" s="74" t="b">
        <v>0</v>
      </c>
      <c r="Q508" s="82" t="s">
        <v>341</v>
      </c>
      <c r="R508" s="83" t="s">
        <v>803</v>
      </c>
      <c r="S508" s="82" t="s">
        <v>1728</v>
      </c>
      <c r="T508" s="41"/>
      <c r="U508" s="41"/>
      <c r="V508" s="41"/>
      <c r="W508" s="41"/>
      <c r="X508" s="41"/>
      <c r="Y508" s="41"/>
      <c r="Z508" s="41"/>
      <c r="AA508" s="41"/>
      <c r="AB508" s="41"/>
      <c r="AC508" s="41"/>
    </row>
    <row r="509" ht="15.75" customHeight="1">
      <c r="A509" s="82" t="s">
        <v>123</v>
      </c>
      <c r="B509" s="82" t="s">
        <v>2421</v>
      </c>
      <c r="C509" s="82" t="s">
        <v>140</v>
      </c>
      <c r="D509" s="82" t="s">
        <v>1718</v>
      </c>
      <c r="E509" s="82" t="s">
        <v>1719</v>
      </c>
      <c r="F509" s="82" t="s">
        <v>1730</v>
      </c>
      <c r="G509" s="82" t="s">
        <v>1721</v>
      </c>
      <c r="H509" s="82" t="s">
        <v>1722</v>
      </c>
      <c r="I509" s="41"/>
      <c r="J509" s="82" t="s">
        <v>1723</v>
      </c>
      <c r="K509" s="82" t="s">
        <v>1724</v>
      </c>
      <c r="L509" s="82" t="s">
        <v>2422</v>
      </c>
      <c r="M509" s="83" t="s">
        <v>2423</v>
      </c>
      <c r="N509" s="74" t="b">
        <v>0</v>
      </c>
      <c r="O509" s="74" t="b">
        <v>0</v>
      </c>
      <c r="P509" s="74" t="b">
        <v>0</v>
      </c>
      <c r="Q509" s="82" t="s">
        <v>341</v>
      </c>
      <c r="R509" s="83" t="s">
        <v>803</v>
      </c>
      <c r="S509" s="82" t="s">
        <v>1728</v>
      </c>
      <c r="T509" s="41"/>
      <c r="U509" s="41"/>
      <c r="V509" s="41"/>
      <c r="W509" s="41"/>
      <c r="X509" s="41"/>
      <c r="Y509" s="41"/>
      <c r="Z509" s="41"/>
      <c r="AA509" s="41"/>
      <c r="AB509" s="41"/>
      <c r="AC509" s="41"/>
    </row>
    <row r="510" ht="15.75" customHeight="1">
      <c r="A510" s="82" t="s">
        <v>123</v>
      </c>
      <c r="B510" s="82" t="s">
        <v>2424</v>
      </c>
      <c r="C510" s="82" t="s">
        <v>140</v>
      </c>
      <c r="D510" s="82" t="s">
        <v>1718</v>
      </c>
      <c r="E510" s="82" t="s">
        <v>1719</v>
      </c>
      <c r="F510" s="82" t="s">
        <v>1754</v>
      </c>
      <c r="G510" s="82" t="s">
        <v>1721</v>
      </c>
      <c r="H510" s="82" t="s">
        <v>1722</v>
      </c>
      <c r="I510" s="41"/>
      <c r="J510" s="82" t="s">
        <v>1723</v>
      </c>
      <c r="K510" s="82" t="s">
        <v>1724</v>
      </c>
      <c r="L510" s="82" t="s">
        <v>2425</v>
      </c>
      <c r="M510" s="83" t="s">
        <v>2426</v>
      </c>
      <c r="N510" s="74" t="b">
        <v>0</v>
      </c>
      <c r="O510" s="74" t="b">
        <v>0</v>
      </c>
      <c r="P510" s="74" t="b">
        <v>0</v>
      </c>
      <c r="Q510" s="82" t="s">
        <v>341</v>
      </c>
      <c r="R510" s="83" t="s">
        <v>803</v>
      </c>
      <c r="S510" s="82" t="s">
        <v>1728</v>
      </c>
      <c r="T510" s="41"/>
      <c r="U510" s="41"/>
      <c r="V510" s="41"/>
      <c r="W510" s="41"/>
      <c r="X510" s="41"/>
      <c r="Y510" s="41"/>
      <c r="Z510" s="41"/>
      <c r="AA510" s="41"/>
      <c r="AB510" s="41"/>
      <c r="AC510" s="41"/>
    </row>
    <row r="511" ht="15.75" customHeight="1">
      <c r="A511" s="82" t="s">
        <v>123</v>
      </c>
      <c r="B511" s="82" t="s">
        <v>2427</v>
      </c>
      <c r="C511" s="82" t="s">
        <v>140</v>
      </c>
      <c r="D511" s="82" t="s">
        <v>1718</v>
      </c>
      <c r="E511" s="82" t="s">
        <v>1719</v>
      </c>
      <c r="F511" s="82" t="s">
        <v>1754</v>
      </c>
      <c r="G511" s="82" t="s">
        <v>1721</v>
      </c>
      <c r="H511" s="82" t="s">
        <v>1722</v>
      </c>
      <c r="I511" s="41"/>
      <c r="J511" s="82" t="s">
        <v>1723</v>
      </c>
      <c r="K511" s="82" t="s">
        <v>1724</v>
      </c>
      <c r="L511" s="82" t="s">
        <v>2428</v>
      </c>
      <c r="M511" s="83" t="s">
        <v>2429</v>
      </c>
      <c r="N511" s="74" t="b">
        <v>0</v>
      </c>
      <c r="O511" s="74" t="b">
        <v>0</v>
      </c>
      <c r="P511" s="74" t="b">
        <v>0</v>
      </c>
      <c r="Q511" s="82" t="s">
        <v>341</v>
      </c>
      <c r="R511" s="83" t="s">
        <v>803</v>
      </c>
      <c r="S511" s="82" t="s">
        <v>1728</v>
      </c>
      <c r="T511" s="41"/>
      <c r="U511" s="41"/>
      <c r="V511" s="41"/>
      <c r="W511" s="41"/>
      <c r="X511" s="41"/>
      <c r="Y511" s="41"/>
      <c r="Z511" s="41"/>
      <c r="AA511" s="41"/>
      <c r="AB511" s="41"/>
      <c r="AC511" s="41"/>
    </row>
    <row r="512" ht="15.75" customHeight="1">
      <c r="A512" s="82" t="s">
        <v>123</v>
      </c>
      <c r="B512" s="82" t="s">
        <v>2430</v>
      </c>
      <c r="C512" s="82" t="s">
        <v>140</v>
      </c>
      <c r="D512" s="82" t="s">
        <v>1718</v>
      </c>
      <c r="E512" s="82" t="s">
        <v>1719</v>
      </c>
      <c r="F512" s="82" t="s">
        <v>1730</v>
      </c>
      <c r="G512" s="82" t="s">
        <v>1721</v>
      </c>
      <c r="H512" s="82" t="s">
        <v>1722</v>
      </c>
      <c r="I512" s="41"/>
      <c r="J512" s="82" t="s">
        <v>1723</v>
      </c>
      <c r="K512" s="82" t="s">
        <v>1724</v>
      </c>
      <c r="L512" s="82" t="s">
        <v>2431</v>
      </c>
      <c r="M512" s="83" t="s">
        <v>2432</v>
      </c>
      <c r="N512" s="74" t="b">
        <v>0</v>
      </c>
      <c r="O512" s="74" t="b">
        <v>0</v>
      </c>
      <c r="P512" s="74" t="b">
        <v>0</v>
      </c>
      <c r="Q512" s="82" t="s">
        <v>341</v>
      </c>
      <c r="R512" s="83" t="s">
        <v>803</v>
      </c>
      <c r="S512" s="82" t="s">
        <v>1728</v>
      </c>
      <c r="T512" s="41"/>
      <c r="U512" s="41"/>
      <c r="V512" s="41"/>
      <c r="W512" s="41"/>
      <c r="X512" s="41"/>
      <c r="Y512" s="41"/>
      <c r="Z512" s="41"/>
      <c r="AA512" s="41"/>
      <c r="AB512" s="41"/>
      <c r="AC512" s="41"/>
    </row>
    <row r="513" ht="15.75" customHeight="1">
      <c r="A513" s="82" t="s">
        <v>123</v>
      </c>
      <c r="B513" s="82" t="s">
        <v>2433</v>
      </c>
      <c r="C513" s="82" t="s">
        <v>140</v>
      </c>
      <c r="D513" s="82" t="s">
        <v>1718</v>
      </c>
      <c r="E513" s="82" t="s">
        <v>1719</v>
      </c>
      <c r="F513" s="82" t="s">
        <v>1754</v>
      </c>
      <c r="G513" s="82" t="s">
        <v>1721</v>
      </c>
      <c r="H513" s="82" t="s">
        <v>1722</v>
      </c>
      <c r="I513" s="41"/>
      <c r="J513" s="82" t="s">
        <v>1723</v>
      </c>
      <c r="K513" s="82" t="s">
        <v>1724</v>
      </c>
      <c r="L513" s="82" t="s">
        <v>2434</v>
      </c>
      <c r="M513" s="83" t="s">
        <v>2435</v>
      </c>
      <c r="N513" s="74" t="b">
        <v>0</v>
      </c>
      <c r="O513" s="74" t="b">
        <v>0</v>
      </c>
      <c r="P513" s="74" t="b">
        <v>0</v>
      </c>
      <c r="Q513" s="82" t="s">
        <v>341</v>
      </c>
      <c r="R513" s="83" t="s">
        <v>803</v>
      </c>
      <c r="S513" s="82" t="s">
        <v>1728</v>
      </c>
      <c r="T513" s="41"/>
      <c r="U513" s="41"/>
      <c r="V513" s="41"/>
      <c r="W513" s="41"/>
      <c r="X513" s="41"/>
      <c r="Y513" s="41"/>
      <c r="Z513" s="41"/>
      <c r="AA513" s="41"/>
      <c r="AB513" s="41"/>
      <c r="AC513" s="41"/>
    </row>
    <row r="514" ht="15.75" customHeight="1">
      <c r="A514" s="82" t="s">
        <v>123</v>
      </c>
      <c r="B514" s="82" t="s">
        <v>2436</v>
      </c>
      <c r="C514" s="82" t="s">
        <v>140</v>
      </c>
      <c r="D514" s="82" t="s">
        <v>1718</v>
      </c>
      <c r="E514" s="82" t="s">
        <v>1719</v>
      </c>
      <c r="F514" s="82" t="s">
        <v>1754</v>
      </c>
      <c r="G514" s="82" t="s">
        <v>1721</v>
      </c>
      <c r="H514" s="82" t="s">
        <v>1722</v>
      </c>
      <c r="I514" s="41"/>
      <c r="J514" s="82" t="s">
        <v>1723</v>
      </c>
      <c r="K514" s="82" t="s">
        <v>1724</v>
      </c>
      <c r="L514" s="82" t="s">
        <v>2437</v>
      </c>
      <c r="M514" s="83" t="s">
        <v>2438</v>
      </c>
      <c r="N514" s="74" t="b">
        <v>0</v>
      </c>
      <c r="O514" s="74" t="b">
        <v>0</v>
      </c>
      <c r="P514" s="74" t="b">
        <v>0</v>
      </c>
      <c r="Q514" s="82" t="s">
        <v>341</v>
      </c>
      <c r="R514" s="83" t="s">
        <v>803</v>
      </c>
      <c r="S514" s="82" t="s">
        <v>1728</v>
      </c>
      <c r="T514" s="41"/>
      <c r="U514" s="41"/>
      <c r="V514" s="41"/>
      <c r="W514" s="41"/>
      <c r="X514" s="41"/>
      <c r="Y514" s="41"/>
      <c r="Z514" s="41"/>
      <c r="AA514" s="41"/>
      <c r="AB514" s="41"/>
      <c r="AC514" s="41"/>
    </row>
    <row r="515" ht="15.75" customHeight="1">
      <c r="A515" s="82" t="s">
        <v>123</v>
      </c>
      <c r="B515" s="82" t="s">
        <v>2439</v>
      </c>
      <c r="C515" s="82" t="s">
        <v>140</v>
      </c>
      <c r="D515" s="82" t="s">
        <v>1718</v>
      </c>
      <c r="E515" s="82" t="s">
        <v>1719</v>
      </c>
      <c r="F515" s="82" t="s">
        <v>1754</v>
      </c>
      <c r="G515" s="82" t="s">
        <v>1721</v>
      </c>
      <c r="H515" s="82" t="s">
        <v>1722</v>
      </c>
      <c r="I515" s="41"/>
      <c r="J515" s="82" t="s">
        <v>1723</v>
      </c>
      <c r="K515" s="82" t="s">
        <v>1724</v>
      </c>
      <c r="L515" s="82" t="s">
        <v>2440</v>
      </c>
      <c r="M515" s="83" t="s">
        <v>2441</v>
      </c>
      <c r="N515" s="74" t="b">
        <v>0</v>
      </c>
      <c r="O515" s="74" t="b">
        <v>0</v>
      </c>
      <c r="P515" s="74" t="b">
        <v>0</v>
      </c>
      <c r="Q515" s="82" t="s">
        <v>341</v>
      </c>
      <c r="R515" s="83" t="s">
        <v>803</v>
      </c>
      <c r="S515" s="82" t="s">
        <v>1728</v>
      </c>
      <c r="T515" s="41"/>
      <c r="U515" s="41"/>
      <c r="V515" s="41"/>
      <c r="W515" s="41"/>
      <c r="X515" s="41"/>
      <c r="Y515" s="41"/>
      <c r="Z515" s="41"/>
      <c r="AA515" s="41"/>
      <c r="AB515" s="41"/>
      <c r="AC515" s="41"/>
    </row>
    <row r="516" ht="15.75" customHeight="1">
      <c r="A516" s="82" t="s">
        <v>123</v>
      </c>
      <c r="B516" s="82" t="s">
        <v>2442</v>
      </c>
      <c r="C516" s="82" t="s">
        <v>140</v>
      </c>
      <c r="D516" s="82" t="s">
        <v>1718</v>
      </c>
      <c r="E516" s="82" t="s">
        <v>1719</v>
      </c>
      <c r="F516" s="82" t="s">
        <v>1754</v>
      </c>
      <c r="G516" s="82" t="s">
        <v>1721</v>
      </c>
      <c r="H516" s="82" t="s">
        <v>1722</v>
      </c>
      <c r="I516" s="41"/>
      <c r="J516" s="82" t="s">
        <v>1723</v>
      </c>
      <c r="K516" s="82" t="s">
        <v>1724</v>
      </c>
      <c r="L516" s="82" t="s">
        <v>2443</v>
      </c>
      <c r="M516" s="83" t="s">
        <v>2444</v>
      </c>
      <c r="N516" s="74" t="b">
        <v>0</v>
      </c>
      <c r="O516" s="74" t="b">
        <v>0</v>
      </c>
      <c r="P516" s="74" t="b">
        <v>0</v>
      </c>
      <c r="Q516" s="82" t="s">
        <v>341</v>
      </c>
      <c r="R516" s="83" t="s">
        <v>803</v>
      </c>
      <c r="S516" s="82" t="s">
        <v>1728</v>
      </c>
      <c r="T516" s="41"/>
      <c r="U516" s="41"/>
      <c r="V516" s="41"/>
      <c r="W516" s="41"/>
      <c r="X516" s="41"/>
      <c r="Y516" s="41"/>
      <c r="Z516" s="41"/>
      <c r="AA516" s="41"/>
      <c r="AB516" s="41"/>
      <c r="AC516" s="41"/>
    </row>
    <row r="517" ht="15.75" customHeight="1">
      <c r="A517" s="82" t="s">
        <v>123</v>
      </c>
      <c r="B517" s="82" t="s">
        <v>2445</v>
      </c>
      <c r="C517" s="82" t="s">
        <v>140</v>
      </c>
      <c r="D517" s="82" t="s">
        <v>1718</v>
      </c>
      <c r="E517" s="82" t="s">
        <v>1719</v>
      </c>
      <c r="F517" s="82" t="s">
        <v>1754</v>
      </c>
      <c r="G517" s="82" t="s">
        <v>1721</v>
      </c>
      <c r="H517" s="82" t="s">
        <v>1722</v>
      </c>
      <c r="I517" s="41"/>
      <c r="J517" s="82" t="s">
        <v>1723</v>
      </c>
      <c r="K517" s="82" t="s">
        <v>1724</v>
      </c>
      <c r="L517" s="82" t="s">
        <v>2401</v>
      </c>
      <c r="M517" s="83" t="s">
        <v>2446</v>
      </c>
      <c r="N517" s="74" t="b">
        <v>0</v>
      </c>
      <c r="O517" s="74" t="b">
        <v>0</v>
      </c>
      <c r="P517" s="74" t="b">
        <v>0</v>
      </c>
      <c r="Q517" s="82" t="s">
        <v>341</v>
      </c>
      <c r="R517" s="83" t="s">
        <v>803</v>
      </c>
      <c r="S517" s="82" t="s">
        <v>1728</v>
      </c>
      <c r="T517" s="41"/>
      <c r="U517" s="41"/>
      <c r="V517" s="41"/>
      <c r="W517" s="41"/>
      <c r="X517" s="41"/>
      <c r="Y517" s="41"/>
      <c r="Z517" s="41"/>
      <c r="AA517" s="41"/>
      <c r="AB517" s="41"/>
      <c r="AC517" s="41"/>
    </row>
    <row r="518" ht="15.75" customHeight="1">
      <c r="A518" s="82" t="s">
        <v>123</v>
      </c>
      <c r="B518" s="82" t="s">
        <v>2447</v>
      </c>
      <c r="C518" s="82" t="s">
        <v>140</v>
      </c>
      <c r="D518" s="82" t="s">
        <v>1718</v>
      </c>
      <c r="E518" s="82" t="s">
        <v>1719</v>
      </c>
      <c r="F518" s="82" t="s">
        <v>1720</v>
      </c>
      <c r="G518" s="82" t="s">
        <v>1721</v>
      </c>
      <c r="H518" s="82" t="s">
        <v>1722</v>
      </c>
      <c r="I518" s="41"/>
      <c r="J518" s="82" t="s">
        <v>1723</v>
      </c>
      <c r="K518" s="82" t="s">
        <v>1724</v>
      </c>
      <c r="L518" s="82" t="s">
        <v>2448</v>
      </c>
      <c r="M518" s="83" t="s">
        <v>2449</v>
      </c>
      <c r="N518" s="74" t="b">
        <v>0</v>
      </c>
      <c r="O518" s="74" t="b">
        <v>0</v>
      </c>
      <c r="P518" s="74" t="b">
        <v>0</v>
      </c>
      <c r="Q518" s="82" t="s">
        <v>341</v>
      </c>
      <c r="R518" s="83" t="s">
        <v>803</v>
      </c>
      <c r="S518" s="82" t="s">
        <v>1728</v>
      </c>
      <c r="T518" s="41"/>
      <c r="U518" s="41"/>
      <c r="V518" s="41"/>
      <c r="W518" s="41"/>
      <c r="X518" s="41"/>
      <c r="Y518" s="41"/>
      <c r="Z518" s="41"/>
      <c r="AA518" s="41"/>
      <c r="AB518" s="41"/>
      <c r="AC518" s="41"/>
    </row>
    <row r="519" ht="15.75" customHeight="1">
      <c r="A519" s="82" t="s">
        <v>123</v>
      </c>
      <c r="B519" s="82" t="s">
        <v>2450</v>
      </c>
      <c r="C519" s="82" t="s">
        <v>140</v>
      </c>
      <c r="D519" s="82" t="s">
        <v>1718</v>
      </c>
      <c r="E519" s="82" t="s">
        <v>1719</v>
      </c>
      <c r="F519" s="82" t="s">
        <v>1720</v>
      </c>
      <c r="G519" s="82" t="s">
        <v>1721</v>
      </c>
      <c r="H519" s="82" t="s">
        <v>1722</v>
      </c>
      <c r="I519" s="41"/>
      <c r="J519" s="82" t="s">
        <v>1723</v>
      </c>
      <c r="K519" s="82" t="s">
        <v>1724</v>
      </c>
      <c r="L519" s="82" t="s">
        <v>2451</v>
      </c>
      <c r="M519" s="83" t="s">
        <v>2452</v>
      </c>
      <c r="N519" s="74" t="b">
        <v>0</v>
      </c>
      <c r="O519" s="74" t="b">
        <v>0</v>
      </c>
      <c r="P519" s="74" t="b">
        <v>0</v>
      </c>
      <c r="Q519" s="82" t="s">
        <v>341</v>
      </c>
      <c r="R519" s="83" t="s">
        <v>803</v>
      </c>
      <c r="S519" s="82" t="s">
        <v>1728</v>
      </c>
      <c r="T519" s="41"/>
      <c r="U519" s="41"/>
      <c r="V519" s="41"/>
      <c r="W519" s="41"/>
      <c r="X519" s="41"/>
      <c r="Y519" s="41"/>
      <c r="Z519" s="41"/>
      <c r="AA519" s="41"/>
      <c r="AB519" s="41"/>
      <c r="AC519" s="41"/>
    </row>
    <row r="520" ht="15.75" customHeight="1">
      <c r="A520" s="82" t="s">
        <v>123</v>
      </c>
      <c r="B520" s="82" t="s">
        <v>2453</v>
      </c>
      <c r="C520" s="82" t="s">
        <v>140</v>
      </c>
      <c r="D520" s="82" t="s">
        <v>1718</v>
      </c>
      <c r="E520" s="82" t="s">
        <v>1719</v>
      </c>
      <c r="F520" s="82" t="s">
        <v>1720</v>
      </c>
      <c r="G520" s="82" t="s">
        <v>1721</v>
      </c>
      <c r="H520" s="82" t="s">
        <v>1722</v>
      </c>
      <c r="I520" s="41"/>
      <c r="J520" s="82" t="s">
        <v>1723</v>
      </c>
      <c r="K520" s="82" t="s">
        <v>1724</v>
      </c>
      <c r="L520" s="82" t="s">
        <v>2451</v>
      </c>
      <c r="M520" s="83" t="s">
        <v>2454</v>
      </c>
      <c r="N520" s="74" t="b">
        <v>0</v>
      </c>
      <c r="O520" s="74" t="b">
        <v>0</v>
      </c>
      <c r="P520" s="74" t="b">
        <v>0</v>
      </c>
      <c r="Q520" s="82" t="s">
        <v>341</v>
      </c>
      <c r="R520" s="83" t="s">
        <v>803</v>
      </c>
      <c r="S520" s="82" t="s">
        <v>1728</v>
      </c>
      <c r="T520" s="41"/>
      <c r="U520" s="41"/>
      <c r="V520" s="41"/>
      <c r="W520" s="41"/>
      <c r="X520" s="41"/>
      <c r="Y520" s="41"/>
      <c r="Z520" s="41"/>
      <c r="AA520" s="41"/>
      <c r="AB520" s="41"/>
      <c r="AC520" s="41"/>
    </row>
    <row r="521" ht="15.75" customHeight="1">
      <c r="A521" s="82" t="s">
        <v>123</v>
      </c>
      <c r="B521" s="82" t="s">
        <v>2455</v>
      </c>
      <c r="C521" s="82" t="s">
        <v>140</v>
      </c>
      <c r="D521" s="82" t="s">
        <v>1718</v>
      </c>
      <c r="E521" s="82" t="s">
        <v>1719</v>
      </c>
      <c r="F521" s="82" t="s">
        <v>1754</v>
      </c>
      <c r="G521" s="82" t="s">
        <v>1721</v>
      </c>
      <c r="H521" s="82" t="s">
        <v>1722</v>
      </c>
      <c r="I521" s="41"/>
      <c r="J521" s="82" t="s">
        <v>1723</v>
      </c>
      <c r="K521" s="82" t="s">
        <v>1724</v>
      </c>
      <c r="L521" s="82" t="s">
        <v>2456</v>
      </c>
      <c r="M521" s="83" t="s">
        <v>2457</v>
      </c>
      <c r="N521" s="74" t="b">
        <v>0</v>
      </c>
      <c r="O521" s="74" t="b">
        <v>0</v>
      </c>
      <c r="P521" s="74" t="b">
        <v>0</v>
      </c>
      <c r="Q521" s="82" t="s">
        <v>341</v>
      </c>
      <c r="R521" s="83" t="s">
        <v>803</v>
      </c>
      <c r="S521" s="82" t="s">
        <v>1728</v>
      </c>
      <c r="T521" s="41"/>
      <c r="U521" s="41"/>
      <c r="V521" s="41"/>
      <c r="W521" s="41"/>
      <c r="X521" s="41"/>
      <c r="Y521" s="41"/>
      <c r="Z521" s="41"/>
      <c r="AA521" s="41"/>
      <c r="AB521" s="41"/>
      <c r="AC521" s="41"/>
    </row>
    <row r="522" ht="15.75" customHeight="1">
      <c r="A522" s="82" t="s">
        <v>123</v>
      </c>
      <c r="B522" s="82" t="s">
        <v>2458</v>
      </c>
      <c r="C522" s="82" t="s">
        <v>140</v>
      </c>
      <c r="D522" s="82" t="s">
        <v>1718</v>
      </c>
      <c r="E522" s="82" t="s">
        <v>1719</v>
      </c>
      <c r="F522" s="82" t="s">
        <v>1754</v>
      </c>
      <c r="G522" s="82" t="s">
        <v>1721</v>
      </c>
      <c r="H522" s="82" t="s">
        <v>1722</v>
      </c>
      <c r="I522" s="41"/>
      <c r="J522" s="82" t="s">
        <v>1723</v>
      </c>
      <c r="K522" s="82" t="s">
        <v>1724</v>
      </c>
      <c r="L522" s="82" t="s">
        <v>2459</v>
      </c>
      <c r="M522" s="83" t="s">
        <v>2460</v>
      </c>
      <c r="N522" s="74" t="b">
        <v>0</v>
      </c>
      <c r="O522" s="74" t="b">
        <v>0</v>
      </c>
      <c r="P522" s="74" t="b">
        <v>0</v>
      </c>
      <c r="Q522" s="82" t="s">
        <v>341</v>
      </c>
      <c r="R522" s="83" t="s">
        <v>803</v>
      </c>
      <c r="S522" s="82" t="s">
        <v>1728</v>
      </c>
      <c r="T522" s="41"/>
      <c r="U522" s="41"/>
      <c r="V522" s="41"/>
      <c r="W522" s="41"/>
      <c r="X522" s="41"/>
      <c r="Y522" s="41"/>
      <c r="Z522" s="41"/>
      <c r="AA522" s="41"/>
      <c r="AB522" s="41"/>
      <c r="AC522" s="41"/>
    </row>
    <row r="523" ht="15.75" customHeight="1">
      <c r="A523" s="82" t="s">
        <v>123</v>
      </c>
      <c r="B523" s="82" t="s">
        <v>2461</v>
      </c>
      <c r="C523" s="82" t="s">
        <v>140</v>
      </c>
      <c r="D523" s="82" t="s">
        <v>1718</v>
      </c>
      <c r="E523" s="82" t="s">
        <v>1719</v>
      </c>
      <c r="F523" s="82" t="s">
        <v>1754</v>
      </c>
      <c r="G523" s="82" t="s">
        <v>1721</v>
      </c>
      <c r="H523" s="82" t="s">
        <v>1722</v>
      </c>
      <c r="I523" s="41"/>
      <c r="J523" s="82" t="s">
        <v>1723</v>
      </c>
      <c r="K523" s="82" t="s">
        <v>1724</v>
      </c>
      <c r="L523" s="82" t="s">
        <v>2401</v>
      </c>
      <c r="M523" s="83" t="s">
        <v>2462</v>
      </c>
      <c r="N523" s="74" t="b">
        <v>0</v>
      </c>
      <c r="O523" s="74" t="b">
        <v>0</v>
      </c>
      <c r="P523" s="74" t="b">
        <v>0</v>
      </c>
      <c r="Q523" s="82" t="s">
        <v>341</v>
      </c>
      <c r="R523" s="83" t="s">
        <v>803</v>
      </c>
      <c r="S523" s="82" t="s">
        <v>1728</v>
      </c>
      <c r="T523" s="41"/>
      <c r="U523" s="41"/>
      <c r="V523" s="41"/>
      <c r="W523" s="41"/>
      <c r="X523" s="41"/>
      <c r="Y523" s="41"/>
      <c r="Z523" s="41"/>
      <c r="AA523" s="41"/>
      <c r="AB523" s="41"/>
      <c r="AC523" s="41"/>
    </row>
    <row r="524" ht="15.75" customHeight="1">
      <c r="A524" s="82" t="s">
        <v>123</v>
      </c>
      <c r="B524" s="82" t="s">
        <v>2463</v>
      </c>
      <c r="C524" s="82" t="s">
        <v>140</v>
      </c>
      <c r="D524" s="82" t="s">
        <v>1718</v>
      </c>
      <c r="E524" s="82" t="s">
        <v>1719</v>
      </c>
      <c r="F524" s="82" t="s">
        <v>1730</v>
      </c>
      <c r="G524" s="82" t="s">
        <v>1721</v>
      </c>
      <c r="H524" s="82" t="s">
        <v>1722</v>
      </c>
      <c r="I524" s="41"/>
      <c r="J524" s="82" t="s">
        <v>1723</v>
      </c>
      <c r="K524" s="82" t="s">
        <v>1724</v>
      </c>
      <c r="L524" s="82" t="s">
        <v>2199</v>
      </c>
      <c r="M524" s="83" t="s">
        <v>2464</v>
      </c>
      <c r="N524" s="74" t="b">
        <v>0</v>
      </c>
      <c r="O524" s="74" t="b">
        <v>0</v>
      </c>
      <c r="P524" s="74" t="b">
        <v>0</v>
      </c>
      <c r="Q524" s="82" t="s">
        <v>341</v>
      </c>
      <c r="R524" s="83" t="s">
        <v>803</v>
      </c>
      <c r="S524" s="82" t="s">
        <v>1728</v>
      </c>
      <c r="T524" s="41"/>
      <c r="U524" s="41"/>
      <c r="V524" s="41"/>
      <c r="W524" s="41"/>
      <c r="X524" s="41"/>
      <c r="Y524" s="41"/>
      <c r="Z524" s="41"/>
      <c r="AA524" s="41"/>
      <c r="AB524" s="41"/>
      <c r="AC524" s="41"/>
    </row>
    <row r="525" ht="15.75" customHeight="1">
      <c r="A525" s="82" t="s">
        <v>123</v>
      </c>
      <c r="B525" s="82" t="s">
        <v>2465</v>
      </c>
      <c r="C525" s="82" t="s">
        <v>140</v>
      </c>
      <c r="D525" s="82" t="s">
        <v>1718</v>
      </c>
      <c r="E525" s="82" t="s">
        <v>1719</v>
      </c>
      <c r="F525" s="82" t="s">
        <v>1754</v>
      </c>
      <c r="G525" s="82" t="s">
        <v>1721</v>
      </c>
      <c r="H525" s="82" t="s">
        <v>1722</v>
      </c>
      <c r="I525" s="41"/>
      <c r="J525" s="82" t="s">
        <v>1723</v>
      </c>
      <c r="K525" s="82" t="s">
        <v>1724</v>
      </c>
      <c r="L525" s="82" t="s">
        <v>1847</v>
      </c>
      <c r="M525" s="83" t="s">
        <v>2466</v>
      </c>
      <c r="N525" s="74" t="b">
        <v>0</v>
      </c>
      <c r="O525" s="74" t="b">
        <v>0</v>
      </c>
      <c r="P525" s="74" t="b">
        <v>0</v>
      </c>
      <c r="Q525" s="82" t="s">
        <v>341</v>
      </c>
      <c r="R525" s="83" t="s">
        <v>803</v>
      </c>
      <c r="S525" s="82" t="s">
        <v>1728</v>
      </c>
      <c r="T525" s="41"/>
      <c r="U525" s="41"/>
      <c r="V525" s="41"/>
      <c r="W525" s="41"/>
      <c r="X525" s="41"/>
      <c r="Y525" s="41"/>
      <c r="Z525" s="41"/>
      <c r="AA525" s="41"/>
      <c r="AB525" s="41"/>
      <c r="AC525" s="41"/>
    </row>
    <row r="526" ht="15.75" customHeight="1">
      <c r="A526" s="82" t="s">
        <v>123</v>
      </c>
      <c r="B526" s="82" t="s">
        <v>2467</v>
      </c>
      <c r="C526" s="82" t="s">
        <v>140</v>
      </c>
      <c r="D526" s="82" t="s">
        <v>1718</v>
      </c>
      <c r="E526" s="82" t="s">
        <v>1719</v>
      </c>
      <c r="F526" s="82" t="s">
        <v>1720</v>
      </c>
      <c r="G526" s="82" t="s">
        <v>1721</v>
      </c>
      <c r="H526" s="82" t="s">
        <v>1722</v>
      </c>
      <c r="I526" s="41"/>
      <c r="J526" s="82" t="s">
        <v>1723</v>
      </c>
      <c r="K526" s="82" t="s">
        <v>1724</v>
      </c>
      <c r="L526" s="82" t="s">
        <v>2413</v>
      </c>
      <c r="M526" s="83" t="s">
        <v>2468</v>
      </c>
      <c r="N526" s="74" t="b">
        <v>0</v>
      </c>
      <c r="O526" s="74" t="b">
        <v>0</v>
      </c>
      <c r="P526" s="74" t="b">
        <v>0</v>
      </c>
      <c r="Q526" s="82" t="s">
        <v>341</v>
      </c>
      <c r="R526" s="83" t="s">
        <v>803</v>
      </c>
      <c r="S526" s="82" t="s">
        <v>1728</v>
      </c>
      <c r="T526" s="41"/>
      <c r="U526" s="41"/>
      <c r="V526" s="41"/>
      <c r="W526" s="41"/>
      <c r="X526" s="41"/>
      <c r="Y526" s="41"/>
      <c r="Z526" s="41"/>
      <c r="AA526" s="41"/>
      <c r="AB526" s="41"/>
      <c r="AC526" s="41"/>
    </row>
    <row r="527" ht="15.75" customHeight="1">
      <c r="A527" s="82" t="s">
        <v>123</v>
      </c>
      <c r="B527" s="82" t="s">
        <v>2469</v>
      </c>
      <c r="C527" s="82" t="s">
        <v>140</v>
      </c>
      <c r="D527" s="82" t="s">
        <v>1718</v>
      </c>
      <c r="E527" s="82" t="s">
        <v>1719</v>
      </c>
      <c r="F527" s="82" t="s">
        <v>1754</v>
      </c>
      <c r="G527" s="82" t="s">
        <v>1721</v>
      </c>
      <c r="H527" s="82" t="s">
        <v>1722</v>
      </c>
      <c r="I527" s="41"/>
      <c r="J527" s="82" t="s">
        <v>1723</v>
      </c>
      <c r="K527" s="82" t="s">
        <v>1724</v>
      </c>
      <c r="L527" s="82" t="s">
        <v>2470</v>
      </c>
      <c r="M527" s="83" t="s">
        <v>2471</v>
      </c>
      <c r="N527" s="74" t="b">
        <v>0</v>
      </c>
      <c r="O527" s="74" t="b">
        <v>0</v>
      </c>
      <c r="P527" s="74" t="b">
        <v>0</v>
      </c>
      <c r="Q527" s="82" t="s">
        <v>341</v>
      </c>
      <c r="R527" s="83" t="s">
        <v>803</v>
      </c>
      <c r="S527" s="82" t="s">
        <v>1728</v>
      </c>
      <c r="T527" s="41"/>
      <c r="U527" s="41"/>
      <c r="V527" s="41"/>
      <c r="W527" s="41"/>
      <c r="X527" s="41"/>
      <c r="Y527" s="41"/>
      <c r="Z527" s="41"/>
      <c r="AA527" s="41"/>
      <c r="AB527" s="41"/>
      <c r="AC527" s="41"/>
    </row>
    <row r="528" ht="15.75" customHeight="1">
      <c r="A528" s="82" t="s">
        <v>123</v>
      </c>
      <c r="B528" s="82" t="s">
        <v>2472</v>
      </c>
      <c r="C528" s="82" t="s">
        <v>140</v>
      </c>
      <c r="D528" s="82" t="s">
        <v>1718</v>
      </c>
      <c r="E528" s="82" t="s">
        <v>1719</v>
      </c>
      <c r="F528" s="82" t="s">
        <v>1720</v>
      </c>
      <c r="G528" s="82" t="s">
        <v>1721</v>
      </c>
      <c r="H528" s="82" t="s">
        <v>1722</v>
      </c>
      <c r="I528" s="41"/>
      <c r="J528" s="82" t="s">
        <v>1723</v>
      </c>
      <c r="K528" s="82" t="s">
        <v>1724</v>
      </c>
      <c r="L528" s="82" t="s">
        <v>2473</v>
      </c>
      <c r="M528" s="83" t="s">
        <v>2474</v>
      </c>
      <c r="N528" s="74" t="b">
        <v>0</v>
      </c>
      <c r="O528" s="74" t="b">
        <v>0</v>
      </c>
      <c r="P528" s="74" t="b">
        <v>0</v>
      </c>
      <c r="Q528" s="82" t="s">
        <v>341</v>
      </c>
      <c r="R528" s="83" t="s">
        <v>803</v>
      </c>
      <c r="S528" s="82" t="s">
        <v>1728</v>
      </c>
      <c r="T528" s="41"/>
      <c r="U528" s="41"/>
      <c r="V528" s="41"/>
      <c r="W528" s="41"/>
      <c r="X528" s="41"/>
      <c r="Y528" s="41"/>
      <c r="Z528" s="41"/>
      <c r="AA528" s="41"/>
      <c r="AB528" s="41"/>
      <c r="AC528" s="41"/>
    </row>
    <row r="529" ht="15.75" customHeight="1">
      <c r="A529" s="82" t="s">
        <v>123</v>
      </c>
      <c r="B529" s="82" t="s">
        <v>2475</v>
      </c>
      <c r="C529" s="82" t="s">
        <v>140</v>
      </c>
      <c r="D529" s="82" t="s">
        <v>1718</v>
      </c>
      <c r="E529" s="82" t="s">
        <v>1719</v>
      </c>
      <c r="F529" s="82" t="s">
        <v>1730</v>
      </c>
      <c r="G529" s="82" t="s">
        <v>1721</v>
      </c>
      <c r="H529" s="82" t="s">
        <v>1722</v>
      </c>
      <c r="I529" s="41"/>
      <c r="J529" s="82" t="s">
        <v>1723</v>
      </c>
      <c r="K529" s="82" t="s">
        <v>1724</v>
      </c>
      <c r="L529" s="82" t="s">
        <v>2199</v>
      </c>
      <c r="M529" s="83" t="s">
        <v>2476</v>
      </c>
      <c r="N529" s="74" t="b">
        <v>0</v>
      </c>
      <c r="O529" s="74" t="b">
        <v>0</v>
      </c>
      <c r="P529" s="74" t="b">
        <v>0</v>
      </c>
      <c r="Q529" s="82" t="s">
        <v>341</v>
      </c>
      <c r="R529" s="83" t="s">
        <v>803</v>
      </c>
      <c r="S529" s="82" t="s">
        <v>1728</v>
      </c>
      <c r="T529" s="41"/>
      <c r="U529" s="41"/>
      <c r="V529" s="41"/>
      <c r="W529" s="41"/>
      <c r="X529" s="41"/>
      <c r="Y529" s="41"/>
      <c r="Z529" s="41"/>
      <c r="AA529" s="41"/>
      <c r="AB529" s="41"/>
      <c r="AC529" s="41"/>
    </row>
    <row r="530" ht="15.75" customHeight="1">
      <c r="A530" s="82" t="s">
        <v>123</v>
      </c>
      <c r="B530" s="82" t="s">
        <v>2477</v>
      </c>
      <c r="C530" s="82" t="s">
        <v>140</v>
      </c>
      <c r="D530" s="82" t="s">
        <v>1718</v>
      </c>
      <c r="E530" s="82" t="s">
        <v>1719</v>
      </c>
      <c r="F530" s="82" t="s">
        <v>1754</v>
      </c>
      <c r="G530" s="82" t="s">
        <v>1721</v>
      </c>
      <c r="H530" s="82" t="s">
        <v>1722</v>
      </c>
      <c r="I530" s="41"/>
      <c r="J530" s="82" t="s">
        <v>1723</v>
      </c>
      <c r="K530" s="82" t="s">
        <v>1724</v>
      </c>
      <c r="L530" s="82" t="s">
        <v>2440</v>
      </c>
      <c r="M530" s="83" t="s">
        <v>2478</v>
      </c>
      <c r="N530" s="74" t="b">
        <v>0</v>
      </c>
      <c r="O530" s="74" t="b">
        <v>0</v>
      </c>
      <c r="P530" s="74" t="b">
        <v>0</v>
      </c>
      <c r="Q530" s="82" t="s">
        <v>341</v>
      </c>
      <c r="R530" s="83" t="s">
        <v>803</v>
      </c>
      <c r="S530" s="82" t="s">
        <v>1728</v>
      </c>
      <c r="T530" s="41"/>
      <c r="U530" s="41"/>
      <c r="V530" s="41"/>
      <c r="W530" s="41"/>
      <c r="X530" s="41"/>
      <c r="Y530" s="41"/>
      <c r="Z530" s="41"/>
      <c r="AA530" s="41"/>
      <c r="AB530" s="41"/>
      <c r="AC530" s="41"/>
    </row>
    <row r="531" ht="15.75" customHeight="1">
      <c r="A531" s="82" t="s">
        <v>123</v>
      </c>
      <c r="B531" s="82" t="s">
        <v>2479</v>
      </c>
      <c r="C531" s="82" t="s">
        <v>140</v>
      </c>
      <c r="D531" s="82" t="s">
        <v>1718</v>
      </c>
      <c r="E531" s="82" t="s">
        <v>1719</v>
      </c>
      <c r="F531" s="82" t="s">
        <v>1754</v>
      </c>
      <c r="G531" s="82" t="s">
        <v>1721</v>
      </c>
      <c r="H531" s="82" t="s">
        <v>1722</v>
      </c>
      <c r="I531" s="41"/>
      <c r="J531" s="82" t="s">
        <v>1723</v>
      </c>
      <c r="K531" s="82" t="s">
        <v>1724</v>
      </c>
      <c r="L531" s="82" t="s">
        <v>2434</v>
      </c>
      <c r="M531" s="83" t="s">
        <v>2480</v>
      </c>
      <c r="N531" s="74" t="b">
        <v>0</v>
      </c>
      <c r="O531" s="74" t="b">
        <v>0</v>
      </c>
      <c r="P531" s="74" t="b">
        <v>0</v>
      </c>
      <c r="Q531" s="82" t="s">
        <v>341</v>
      </c>
      <c r="R531" s="83" t="s">
        <v>803</v>
      </c>
      <c r="S531" s="82" t="s">
        <v>1728</v>
      </c>
      <c r="T531" s="41"/>
      <c r="U531" s="41"/>
      <c r="V531" s="41"/>
      <c r="W531" s="41"/>
      <c r="X531" s="41"/>
      <c r="Y531" s="41"/>
      <c r="Z531" s="41"/>
      <c r="AA531" s="41"/>
      <c r="AB531" s="41"/>
      <c r="AC531" s="41"/>
    </row>
    <row r="532" ht="15.75" customHeight="1">
      <c r="A532" s="82" t="s">
        <v>123</v>
      </c>
      <c r="B532" s="82" t="s">
        <v>2481</v>
      </c>
      <c r="C532" s="82" t="s">
        <v>140</v>
      </c>
      <c r="D532" s="82" t="s">
        <v>1718</v>
      </c>
      <c r="E532" s="82" t="s">
        <v>1719</v>
      </c>
      <c r="F532" s="82" t="s">
        <v>1754</v>
      </c>
      <c r="G532" s="82" t="s">
        <v>1721</v>
      </c>
      <c r="H532" s="82" t="s">
        <v>1722</v>
      </c>
      <c r="I532" s="41"/>
      <c r="J532" s="82" t="s">
        <v>1723</v>
      </c>
      <c r="K532" s="82" t="s">
        <v>1724</v>
      </c>
      <c r="L532" s="82" t="s">
        <v>2440</v>
      </c>
      <c r="M532" s="83" t="s">
        <v>2482</v>
      </c>
      <c r="N532" s="74" t="b">
        <v>0</v>
      </c>
      <c r="O532" s="74" t="b">
        <v>0</v>
      </c>
      <c r="P532" s="74" t="b">
        <v>0</v>
      </c>
      <c r="Q532" s="82" t="s">
        <v>341</v>
      </c>
      <c r="R532" s="83" t="s">
        <v>803</v>
      </c>
      <c r="S532" s="82" t="s">
        <v>1728</v>
      </c>
      <c r="T532" s="41"/>
      <c r="U532" s="41"/>
      <c r="V532" s="41"/>
      <c r="W532" s="41"/>
      <c r="X532" s="41"/>
      <c r="Y532" s="41"/>
      <c r="Z532" s="41"/>
      <c r="AA532" s="41"/>
      <c r="AB532" s="41"/>
      <c r="AC532" s="41"/>
    </row>
    <row r="533" ht="15.75" customHeight="1">
      <c r="A533" s="82" t="s">
        <v>123</v>
      </c>
      <c r="B533" s="82" t="s">
        <v>2483</v>
      </c>
      <c r="C533" s="82" t="s">
        <v>140</v>
      </c>
      <c r="D533" s="82" t="s">
        <v>1718</v>
      </c>
      <c r="E533" s="82" t="s">
        <v>1719</v>
      </c>
      <c r="F533" s="82" t="s">
        <v>1720</v>
      </c>
      <c r="G533" s="82" t="s">
        <v>1721</v>
      </c>
      <c r="H533" s="82" t="s">
        <v>1722</v>
      </c>
      <c r="I533" s="41"/>
      <c r="J533" s="82" t="s">
        <v>1723</v>
      </c>
      <c r="K533" s="82" t="s">
        <v>1724</v>
      </c>
      <c r="L533" s="82" t="s">
        <v>2451</v>
      </c>
      <c r="M533" s="83" t="s">
        <v>2484</v>
      </c>
      <c r="N533" s="74" t="b">
        <v>0</v>
      </c>
      <c r="O533" s="74" t="b">
        <v>0</v>
      </c>
      <c r="P533" s="74" t="b">
        <v>0</v>
      </c>
      <c r="Q533" s="82" t="s">
        <v>341</v>
      </c>
      <c r="R533" s="83" t="s">
        <v>803</v>
      </c>
      <c r="S533" s="82" t="s">
        <v>1728</v>
      </c>
      <c r="T533" s="41"/>
      <c r="U533" s="41"/>
      <c r="V533" s="41"/>
      <c r="W533" s="41"/>
      <c r="X533" s="41"/>
      <c r="Y533" s="41"/>
      <c r="Z533" s="41"/>
      <c r="AA533" s="41"/>
      <c r="AB533" s="41"/>
      <c r="AC533" s="41"/>
    </row>
    <row r="534" ht="15.75" customHeight="1">
      <c r="A534" s="82" t="s">
        <v>123</v>
      </c>
      <c r="B534" s="82" t="s">
        <v>2485</v>
      </c>
      <c r="C534" s="82" t="s">
        <v>140</v>
      </c>
      <c r="D534" s="82" t="s">
        <v>1718</v>
      </c>
      <c r="E534" s="82" t="s">
        <v>1719</v>
      </c>
      <c r="F534" s="82" t="s">
        <v>1730</v>
      </c>
      <c r="G534" s="82" t="s">
        <v>1721</v>
      </c>
      <c r="H534" s="82" t="s">
        <v>1722</v>
      </c>
      <c r="I534" s="41"/>
      <c r="J534" s="82" t="s">
        <v>1723</v>
      </c>
      <c r="K534" s="82" t="s">
        <v>1724</v>
      </c>
      <c r="L534" s="82" t="s">
        <v>2199</v>
      </c>
      <c r="M534" s="83" t="s">
        <v>2486</v>
      </c>
      <c r="N534" s="74" t="b">
        <v>0</v>
      </c>
      <c r="O534" s="74" t="b">
        <v>0</v>
      </c>
      <c r="P534" s="74" t="b">
        <v>0</v>
      </c>
      <c r="Q534" s="82" t="s">
        <v>341</v>
      </c>
      <c r="R534" s="83" t="s">
        <v>803</v>
      </c>
      <c r="S534" s="82" t="s">
        <v>1728</v>
      </c>
      <c r="T534" s="41"/>
      <c r="U534" s="41"/>
      <c r="V534" s="41"/>
      <c r="W534" s="41"/>
      <c r="X534" s="41"/>
      <c r="Y534" s="41"/>
      <c r="Z534" s="41"/>
      <c r="AA534" s="41"/>
      <c r="AB534" s="41"/>
      <c r="AC534" s="41"/>
    </row>
    <row r="535" ht="15.75" customHeight="1">
      <c r="A535" s="82" t="s">
        <v>123</v>
      </c>
      <c r="B535" s="82" t="s">
        <v>2487</v>
      </c>
      <c r="C535" s="82" t="s">
        <v>140</v>
      </c>
      <c r="D535" s="82" t="s">
        <v>1718</v>
      </c>
      <c r="E535" s="82" t="s">
        <v>1719</v>
      </c>
      <c r="F535" s="82" t="s">
        <v>1720</v>
      </c>
      <c r="G535" s="82" t="s">
        <v>1721</v>
      </c>
      <c r="H535" s="82" t="s">
        <v>1722</v>
      </c>
      <c r="I535" s="41"/>
      <c r="J535" s="82" t="s">
        <v>1723</v>
      </c>
      <c r="K535" s="82" t="s">
        <v>1724</v>
      </c>
      <c r="L535" s="82" t="s">
        <v>2451</v>
      </c>
      <c r="M535" s="83" t="s">
        <v>2488</v>
      </c>
      <c r="N535" s="74" t="b">
        <v>0</v>
      </c>
      <c r="O535" s="74" t="b">
        <v>0</v>
      </c>
      <c r="P535" s="74" t="b">
        <v>0</v>
      </c>
      <c r="Q535" s="82" t="s">
        <v>341</v>
      </c>
      <c r="R535" s="83" t="s">
        <v>803</v>
      </c>
      <c r="S535" s="82" t="s">
        <v>1728</v>
      </c>
      <c r="T535" s="41"/>
      <c r="U535" s="41"/>
      <c r="V535" s="41"/>
      <c r="W535" s="41"/>
      <c r="X535" s="41"/>
      <c r="Y535" s="41"/>
      <c r="Z535" s="41"/>
      <c r="AA535" s="41"/>
      <c r="AB535" s="41"/>
      <c r="AC535" s="41"/>
    </row>
    <row r="536" ht="15.75" customHeight="1">
      <c r="A536" s="82" t="s">
        <v>123</v>
      </c>
      <c r="B536" s="82" t="s">
        <v>2489</v>
      </c>
      <c r="C536" s="82" t="s">
        <v>140</v>
      </c>
      <c r="D536" s="82" t="s">
        <v>1718</v>
      </c>
      <c r="E536" s="82" t="s">
        <v>1719</v>
      </c>
      <c r="F536" s="82" t="s">
        <v>1720</v>
      </c>
      <c r="G536" s="82" t="s">
        <v>1721</v>
      </c>
      <c r="H536" s="82" t="s">
        <v>1722</v>
      </c>
      <c r="I536" s="41"/>
      <c r="J536" s="82" t="s">
        <v>1723</v>
      </c>
      <c r="K536" s="82" t="s">
        <v>1724</v>
      </c>
      <c r="L536" s="82" t="s">
        <v>2451</v>
      </c>
      <c r="M536" s="83" t="s">
        <v>2490</v>
      </c>
      <c r="N536" s="74" t="b">
        <v>0</v>
      </c>
      <c r="O536" s="74" t="b">
        <v>0</v>
      </c>
      <c r="P536" s="74" t="b">
        <v>0</v>
      </c>
      <c r="Q536" s="82" t="s">
        <v>341</v>
      </c>
      <c r="R536" s="83" t="s">
        <v>803</v>
      </c>
      <c r="S536" s="82" t="s">
        <v>1728</v>
      </c>
      <c r="T536" s="41"/>
      <c r="U536" s="41"/>
      <c r="V536" s="41"/>
      <c r="W536" s="41"/>
      <c r="X536" s="41"/>
      <c r="Y536" s="41"/>
      <c r="Z536" s="41"/>
      <c r="AA536" s="41"/>
      <c r="AB536" s="41"/>
      <c r="AC536" s="41"/>
    </row>
    <row r="537" ht="15.75" customHeight="1">
      <c r="A537" s="82" t="s">
        <v>123</v>
      </c>
      <c r="B537" s="82" t="s">
        <v>2491</v>
      </c>
      <c r="C537" s="82" t="s">
        <v>140</v>
      </c>
      <c r="D537" s="82" t="s">
        <v>1718</v>
      </c>
      <c r="E537" s="82" t="s">
        <v>1719</v>
      </c>
      <c r="F537" s="82" t="s">
        <v>1720</v>
      </c>
      <c r="G537" s="82" t="s">
        <v>1721</v>
      </c>
      <c r="H537" s="82" t="s">
        <v>1722</v>
      </c>
      <c r="I537" s="41"/>
      <c r="J537" s="82" t="s">
        <v>1723</v>
      </c>
      <c r="K537" s="82" t="s">
        <v>1724</v>
      </c>
      <c r="L537" s="82" t="s">
        <v>2419</v>
      </c>
      <c r="M537" s="83" t="s">
        <v>2492</v>
      </c>
      <c r="N537" s="74" t="b">
        <v>0</v>
      </c>
      <c r="O537" s="74" t="b">
        <v>0</v>
      </c>
      <c r="P537" s="74" t="b">
        <v>0</v>
      </c>
      <c r="Q537" s="82" t="s">
        <v>341</v>
      </c>
      <c r="R537" s="83" t="s">
        <v>803</v>
      </c>
      <c r="S537" s="82" t="s">
        <v>1728</v>
      </c>
      <c r="T537" s="41"/>
      <c r="U537" s="41"/>
      <c r="V537" s="41"/>
      <c r="W537" s="41"/>
      <c r="X537" s="41"/>
      <c r="Y537" s="41"/>
      <c r="Z537" s="41"/>
      <c r="AA537" s="41"/>
      <c r="AB537" s="41"/>
      <c r="AC537" s="41"/>
    </row>
    <row r="538" ht="15.75" customHeight="1">
      <c r="A538" s="82" t="s">
        <v>123</v>
      </c>
      <c r="B538" s="82" t="s">
        <v>2493</v>
      </c>
      <c r="C538" s="82" t="s">
        <v>140</v>
      </c>
      <c r="D538" s="82" t="s">
        <v>1718</v>
      </c>
      <c r="E538" s="82" t="s">
        <v>1719</v>
      </c>
      <c r="F538" s="82" t="s">
        <v>1730</v>
      </c>
      <c r="G538" s="82" t="s">
        <v>1721</v>
      </c>
      <c r="H538" s="82" t="s">
        <v>1722</v>
      </c>
      <c r="I538" s="41"/>
      <c r="J538" s="82" t="s">
        <v>1723</v>
      </c>
      <c r="K538" s="82" t="s">
        <v>1724</v>
      </c>
      <c r="L538" s="82" t="s">
        <v>2199</v>
      </c>
      <c r="M538" s="83" t="s">
        <v>2494</v>
      </c>
      <c r="N538" s="74" t="b">
        <v>0</v>
      </c>
      <c r="O538" s="74" t="b">
        <v>0</v>
      </c>
      <c r="P538" s="74" t="b">
        <v>0</v>
      </c>
      <c r="Q538" s="82" t="s">
        <v>341</v>
      </c>
      <c r="R538" s="83" t="s">
        <v>803</v>
      </c>
      <c r="S538" s="82" t="s">
        <v>1728</v>
      </c>
      <c r="T538" s="41"/>
      <c r="U538" s="41"/>
      <c r="V538" s="41"/>
      <c r="W538" s="41"/>
      <c r="X538" s="41"/>
      <c r="Y538" s="41"/>
      <c r="Z538" s="41"/>
      <c r="AA538" s="41"/>
      <c r="AB538" s="41"/>
      <c r="AC538" s="41"/>
    </row>
    <row r="539" ht="15.75" customHeight="1">
      <c r="A539" s="82" t="s">
        <v>123</v>
      </c>
      <c r="B539" s="82" t="s">
        <v>2495</v>
      </c>
      <c r="C539" s="82" t="s">
        <v>140</v>
      </c>
      <c r="D539" s="82" t="s">
        <v>1718</v>
      </c>
      <c r="E539" s="82" t="s">
        <v>1719</v>
      </c>
      <c r="F539" s="82" t="s">
        <v>1730</v>
      </c>
      <c r="G539" s="82" t="s">
        <v>1721</v>
      </c>
      <c r="H539" s="82" t="s">
        <v>1722</v>
      </c>
      <c r="I539" s="41"/>
      <c r="J539" s="82" t="s">
        <v>1723</v>
      </c>
      <c r="K539" s="82" t="s">
        <v>1724</v>
      </c>
      <c r="L539" s="82" t="s">
        <v>2496</v>
      </c>
      <c r="M539" s="83" t="s">
        <v>2497</v>
      </c>
      <c r="N539" s="74" t="b">
        <v>0</v>
      </c>
      <c r="O539" s="74" t="b">
        <v>0</v>
      </c>
      <c r="P539" s="74" t="b">
        <v>0</v>
      </c>
      <c r="Q539" s="82" t="s">
        <v>341</v>
      </c>
      <c r="R539" s="83" t="s">
        <v>803</v>
      </c>
      <c r="S539" s="82" t="s">
        <v>1728</v>
      </c>
      <c r="T539" s="41"/>
      <c r="U539" s="41"/>
      <c r="V539" s="41"/>
      <c r="W539" s="41"/>
      <c r="X539" s="41"/>
      <c r="Y539" s="41"/>
      <c r="Z539" s="41"/>
      <c r="AA539" s="41"/>
      <c r="AB539" s="41"/>
      <c r="AC539" s="41"/>
    </row>
    <row r="540" ht="15.75" customHeight="1">
      <c r="A540" s="82" t="s">
        <v>123</v>
      </c>
      <c r="B540" s="82" t="s">
        <v>2498</v>
      </c>
      <c r="C540" s="82" t="s">
        <v>140</v>
      </c>
      <c r="D540" s="82" t="s">
        <v>1718</v>
      </c>
      <c r="E540" s="82" t="s">
        <v>1719</v>
      </c>
      <c r="F540" s="82" t="s">
        <v>1730</v>
      </c>
      <c r="G540" s="82" t="s">
        <v>1721</v>
      </c>
      <c r="H540" s="82" t="s">
        <v>1722</v>
      </c>
      <c r="I540" s="41"/>
      <c r="J540" s="82" t="s">
        <v>1723</v>
      </c>
      <c r="K540" s="82" t="s">
        <v>1724</v>
      </c>
      <c r="L540" s="82" t="s">
        <v>2199</v>
      </c>
      <c r="M540" s="83" t="s">
        <v>2499</v>
      </c>
      <c r="N540" s="74" t="b">
        <v>0</v>
      </c>
      <c r="O540" s="74" t="b">
        <v>0</v>
      </c>
      <c r="P540" s="74" t="b">
        <v>0</v>
      </c>
      <c r="Q540" s="82" t="s">
        <v>341</v>
      </c>
      <c r="R540" s="83" t="s">
        <v>803</v>
      </c>
      <c r="S540" s="82" t="s">
        <v>1728</v>
      </c>
      <c r="T540" s="41"/>
      <c r="U540" s="41"/>
      <c r="V540" s="41"/>
      <c r="W540" s="41"/>
      <c r="X540" s="41"/>
      <c r="Y540" s="41"/>
      <c r="Z540" s="41"/>
      <c r="AA540" s="41"/>
      <c r="AB540" s="41"/>
      <c r="AC540" s="41"/>
    </row>
    <row r="541" ht="15.75" customHeight="1">
      <c r="A541" s="82" t="s">
        <v>123</v>
      </c>
      <c r="B541" s="82" t="s">
        <v>2500</v>
      </c>
      <c r="C541" s="82" t="s">
        <v>140</v>
      </c>
      <c r="D541" s="82" t="s">
        <v>1718</v>
      </c>
      <c r="E541" s="82" t="s">
        <v>1719</v>
      </c>
      <c r="F541" s="82" t="s">
        <v>1730</v>
      </c>
      <c r="G541" s="82" t="s">
        <v>1721</v>
      </c>
      <c r="H541" s="82" t="s">
        <v>1722</v>
      </c>
      <c r="I541" s="41"/>
      <c r="J541" s="82" t="s">
        <v>1723</v>
      </c>
      <c r="K541" s="82" t="s">
        <v>1724</v>
      </c>
      <c r="L541" s="82" t="s">
        <v>2199</v>
      </c>
      <c r="M541" s="83" t="s">
        <v>2501</v>
      </c>
      <c r="N541" s="74" t="b">
        <v>0</v>
      </c>
      <c r="O541" s="74" t="b">
        <v>0</v>
      </c>
      <c r="P541" s="74" t="b">
        <v>0</v>
      </c>
      <c r="Q541" s="82" t="s">
        <v>341</v>
      </c>
      <c r="R541" s="83" t="s">
        <v>803</v>
      </c>
      <c r="S541" s="82" t="s">
        <v>1728</v>
      </c>
      <c r="T541" s="41"/>
      <c r="U541" s="41"/>
      <c r="V541" s="41"/>
      <c r="W541" s="41"/>
      <c r="X541" s="41"/>
      <c r="Y541" s="41"/>
      <c r="Z541" s="41"/>
      <c r="AA541" s="41"/>
      <c r="AB541" s="41"/>
      <c r="AC541" s="41"/>
    </row>
    <row r="542" ht="15.75" customHeight="1">
      <c r="A542" s="82" t="s">
        <v>123</v>
      </c>
      <c r="B542" s="82" t="s">
        <v>2502</v>
      </c>
      <c r="C542" s="82" t="s">
        <v>140</v>
      </c>
      <c r="D542" s="82" t="s">
        <v>1718</v>
      </c>
      <c r="E542" s="82" t="s">
        <v>1719</v>
      </c>
      <c r="F542" s="82" t="s">
        <v>1730</v>
      </c>
      <c r="G542" s="82" t="s">
        <v>1721</v>
      </c>
      <c r="H542" s="82" t="s">
        <v>1722</v>
      </c>
      <c r="I542" s="41"/>
      <c r="J542" s="82" t="s">
        <v>1723</v>
      </c>
      <c r="K542" s="82" t="s">
        <v>1724</v>
      </c>
      <c r="L542" s="82" t="s">
        <v>2503</v>
      </c>
      <c r="M542" s="83" t="s">
        <v>2504</v>
      </c>
      <c r="N542" s="74" t="b">
        <v>0</v>
      </c>
      <c r="O542" s="74" t="b">
        <v>0</v>
      </c>
      <c r="P542" s="74" t="b">
        <v>0</v>
      </c>
      <c r="Q542" s="82" t="s">
        <v>341</v>
      </c>
      <c r="R542" s="83" t="s">
        <v>803</v>
      </c>
      <c r="S542" s="82" t="s">
        <v>1728</v>
      </c>
      <c r="T542" s="41"/>
      <c r="U542" s="41"/>
      <c r="V542" s="41"/>
      <c r="W542" s="41"/>
      <c r="X542" s="41"/>
      <c r="Y542" s="41"/>
      <c r="Z542" s="41"/>
      <c r="AA542" s="41"/>
      <c r="AB542" s="41"/>
      <c r="AC542" s="41"/>
    </row>
    <row r="543" ht="15.75" customHeight="1">
      <c r="A543" s="82" t="s">
        <v>123</v>
      </c>
      <c r="B543" s="82" t="s">
        <v>2505</v>
      </c>
      <c r="C543" s="82" t="s">
        <v>140</v>
      </c>
      <c r="D543" s="82" t="s">
        <v>1718</v>
      </c>
      <c r="E543" s="82" t="s">
        <v>1719</v>
      </c>
      <c r="F543" s="82" t="s">
        <v>1754</v>
      </c>
      <c r="G543" s="82" t="s">
        <v>1721</v>
      </c>
      <c r="H543" s="82" t="s">
        <v>1722</v>
      </c>
      <c r="I543" s="41"/>
      <c r="J543" s="82" t="s">
        <v>1723</v>
      </c>
      <c r="K543" s="82" t="s">
        <v>1724</v>
      </c>
      <c r="L543" s="82" t="s">
        <v>2401</v>
      </c>
      <c r="M543" s="83" t="s">
        <v>2506</v>
      </c>
      <c r="N543" s="74" t="b">
        <v>0</v>
      </c>
      <c r="O543" s="74" t="b">
        <v>0</v>
      </c>
      <c r="P543" s="74" t="b">
        <v>0</v>
      </c>
      <c r="Q543" s="82" t="s">
        <v>341</v>
      </c>
      <c r="R543" s="83" t="s">
        <v>803</v>
      </c>
      <c r="S543" s="82" t="s">
        <v>1728</v>
      </c>
      <c r="T543" s="41"/>
      <c r="U543" s="41"/>
      <c r="V543" s="41"/>
      <c r="W543" s="41"/>
      <c r="X543" s="41"/>
      <c r="Y543" s="41"/>
      <c r="Z543" s="41"/>
      <c r="AA543" s="41"/>
      <c r="AB543" s="41"/>
      <c r="AC543" s="41"/>
    </row>
    <row r="544" ht="15.75" customHeight="1">
      <c r="A544" s="82" t="s">
        <v>123</v>
      </c>
      <c r="B544" s="82" t="s">
        <v>2507</v>
      </c>
      <c r="C544" s="82" t="s">
        <v>140</v>
      </c>
      <c r="D544" s="82" t="s">
        <v>1718</v>
      </c>
      <c r="E544" s="82" t="s">
        <v>1719</v>
      </c>
      <c r="F544" s="82" t="s">
        <v>1730</v>
      </c>
      <c r="G544" s="82" t="s">
        <v>1721</v>
      </c>
      <c r="H544" s="82" t="s">
        <v>1722</v>
      </c>
      <c r="I544" s="41"/>
      <c r="J544" s="82" t="s">
        <v>1723</v>
      </c>
      <c r="K544" s="82" t="s">
        <v>1724</v>
      </c>
      <c r="L544" s="82" t="s">
        <v>2142</v>
      </c>
      <c r="M544" s="83" t="s">
        <v>2508</v>
      </c>
      <c r="N544" s="74" t="b">
        <v>0</v>
      </c>
      <c r="O544" s="74" t="b">
        <v>0</v>
      </c>
      <c r="P544" s="74" t="b">
        <v>0</v>
      </c>
      <c r="Q544" s="82" t="s">
        <v>341</v>
      </c>
      <c r="R544" s="83" t="s">
        <v>803</v>
      </c>
      <c r="S544" s="82" t="s">
        <v>1728</v>
      </c>
      <c r="T544" s="41"/>
      <c r="U544" s="41"/>
      <c r="V544" s="41"/>
      <c r="W544" s="41"/>
      <c r="X544" s="41"/>
      <c r="Y544" s="41"/>
      <c r="Z544" s="41"/>
      <c r="AA544" s="41"/>
      <c r="AB544" s="41"/>
      <c r="AC544" s="41"/>
    </row>
    <row r="545" ht="15.75" customHeight="1">
      <c r="A545" s="82" t="s">
        <v>123</v>
      </c>
      <c r="B545" s="82" t="s">
        <v>2509</v>
      </c>
      <c r="C545" s="82" t="s">
        <v>140</v>
      </c>
      <c r="D545" s="82" t="s">
        <v>1718</v>
      </c>
      <c r="E545" s="82" t="s">
        <v>1719</v>
      </c>
      <c r="F545" s="82" t="s">
        <v>1730</v>
      </c>
      <c r="G545" s="82" t="s">
        <v>1721</v>
      </c>
      <c r="H545" s="82" t="s">
        <v>1722</v>
      </c>
      <c r="I545" s="41"/>
      <c r="J545" s="82" t="s">
        <v>1723</v>
      </c>
      <c r="K545" s="82" t="s">
        <v>1724</v>
      </c>
      <c r="L545" s="82" t="s">
        <v>2199</v>
      </c>
      <c r="M545" s="83" t="s">
        <v>2510</v>
      </c>
      <c r="N545" s="74" t="b">
        <v>0</v>
      </c>
      <c r="O545" s="74" t="b">
        <v>0</v>
      </c>
      <c r="P545" s="74" t="b">
        <v>0</v>
      </c>
      <c r="Q545" s="82" t="s">
        <v>341</v>
      </c>
      <c r="R545" s="83" t="s">
        <v>803</v>
      </c>
      <c r="S545" s="82" t="s">
        <v>1728</v>
      </c>
      <c r="T545" s="41"/>
      <c r="U545" s="41"/>
      <c r="V545" s="41"/>
      <c r="W545" s="41"/>
      <c r="X545" s="41"/>
      <c r="Y545" s="41"/>
      <c r="Z545" s="41"/>
      <c r="AA545" s="41"/>
      <c r="AB545" s="41"/>
      <c r="AC545" s="41"/>
    </row>
    <row r="546" ht="15.75" customHeight="1">
      <c r="A546" s="82" t="s">
        <v>123</v>
      </c>
      <c r="B546" s="82" t="s">
        <v>2511</v>
      </c>
      <c r="C546" s="82" t="s">
        <v>140</v>
      </c>
      <c r="D546" s="82" t="s">
        <v>1718</v>
      </c>
      <c r="E546" s="82" t="s">
        <v>1719</v>
      </c>
      <c r="F546" s="82" t="s">
        <v>1754</v>
      </c>
      <c r="G546" s="82" t="s">
        <v>1721</v>
      </c>
      <c r="H546" s="82" t="s">
        <v>1722</v>
      </c>
      <c r="I546" s="41"/>
      <c r="J546" s="82" t="s">
        <v>1723</v>
      </c>
      <c r="K546" s="82" t="s">
        <v>1724</v>
      </c>
      <c r="L546" s="82" t="s">
        <v>2512</v>
      </c>
      <c r="M546" s="83" t="s">
        <v>2513</v>
      </c>
      <c r="N546" s="74" t="b">
        <v>0</v>
      </c>
      <c r="O546" s="74" t="b">
        <v>0</v>
      </c>
      <c r="P546" s="74" t="b">
        <v>0</v>
      </c>
      <c r="Q546" s="82" t="s">
        <v>341</v>
      </c>
      <c r="R546" s="83" t="s">
        <v>803</v>
      </c>
      <c r="S546" s="82" t="s">
        <v>1728</v>
      </c>
      <c r="T546" s="41"/>
      <c r="U546" s="41"/>
      <c r="V546" s="41"/>
      <c r="W546" s="41"/>
      <c r="X546" s="41"/>
      <c r="Y546" s="41"/>
      <c r="Z546" s="41"/>
      <c r="AA546" s="41"/>
      <c r="AB546" s="41"/>
      <c r="AC546" s="41"/>
    </row>
    <row r="547" ht="15.75" customHeight="1">
      <c r="A547" s="82" t="s">
        <v>123</v>
      </c>
      <c r="B547" s="82" t="s">
        <v>2514</v>
      </c>
      <c r="C547" s="82" t="s">
        <v>140</v>
      </c>
      <c r="D547" s="82" t="s">
        <v>1718</v>
      </c>
      <c r="E547" s="82" t="s">
        <v>1719</v>
      </c>
      <c r="F547" s="82" t="s">
        <v>1720</v>
      </c>
      <c r="G547" s="82" t="s">
        <v>1721</v>
      </c>
      <c r="H547" s="82" t="s">
        <v>1722</v>
      </c>
      <c r="I547" s="41"/>
      <c r="J547" s="82" t="s">
        <v>1723</v>
      </c>
      <c r="K547" s="82" t="s">
        <v>1724</v>
      </c>
      <c r="L547" s="82" t="s">
        <v>2413</v>
      </c>
      <c r="M547" s="83" t="s">
        <v>2515</v>
      </c>
      <c r="N547" s="74" t="b">
        <v>0</v>
      </c>
      <c r="O547" s="74" t="b">
        <v>0</v>
      </c>
      <c r="P547" s="74" t="b">
        <v>0</v>
      </c>
      <c r="Q547" s="82" t="s">
        <v>341</v>
      </c>
      <c r="R547" s="83" t="s">
        <v>803</v>
      </c>
      <c r="S547" s="82" t="s">
        <v>1728</v>
      </c>
      <c r="T547" s="41"/>
      <c r="U547" s="41"/>
      <c r="V547" s="41"/>
      <c r="W547" s="41"/>
      <c r="X547" s="41"/>
      <c r="Y547" s="41"/>
      <c r="Z547" s="41"/>
      <c r="AA547" s="41"/>
      <c r="AB547" s="41"/>
      <c r="AC547" s="41"/>
    </row>
    <row r="548" ht="15.75" customHeight="1">
      <c r="A548" s="82" t="s">
        <v>123</v>
      </c>
      <c r="B548" s="82" t="s">
        <v>2516</v>
      </c>
      <c r="C548" s="82" t="s">
        <v>140</v>
      </c>
      <c r="D548" s="82" t="s">
        <v>1718</v>
      </c>
      <c r="E548" s="82" t="s">
        <v>1719</v>
      </c>
      <c r="F548" s="82" t="s">
        <v>1754</v>
      </c>
      <c r="G548" s="82" t="s">
        <v>1721</v>
      </c>
      <c r="H548" s="82" t="s">
        <v>1722</v>
      </c>
      <c r="I548" s="41"/>
      <c r="J548" s="82" t="s">
        <v>1723</v>
      </c>
      <c r="K548" s="82" t="s">
        <v>1724</v>
      </c>
      <c r="L548" s="82" t="s">
        <v>2517</v>
      </c>
      <c r="M548" s="83" t="s">
        <v>2518</v>
      </c>
      <c r="N548" s="74" t="b">
        <v>0</v>
      </c>
      <c r="O548" s="74" t="b">
        <v>0</v>
      </c>
      <c r="P548" s="74" t="b">
        <v>0</v>
      </c>
      <c r="Q548" s="82" t="s">
        <v>341</v>
      </c>
      <c r="R548" s="83" t="s">
        <v>803</v>
      </c>
      <c r="S548" s="82" t="s">
        <v>1728</v>
      </c>
      <c r="T548" s="41"/>
      <c r="U548" s="41"/>
      <c r="V548" s="41"/>
      <c r="W548" s="41"/>
      <c r="X548" s="41"/>
      <c r="Y548" s="41"/>
      <c r="Z548" s="41"/>
      <c r="AA548" s="41"/>
      <c r="AB548" s="41"/>
      <c r="AC548" s="41"/>
    </row>
    <row r="549" ht="15.75" customHeight="1">
      <c r="A549" s="82" t="s">
        <v>123</v>
      </c>
      <c r="B549" s="82" t="s">
        <v>2519</v>
      </c>
      <c r="C549" s="82" t="s">
        <v>140</v>
      </c>
      <c r="D549" s="82" t="s">
        <v>1718</v>
      </c>
      <c r="E549" s="82" t="s">
        <v>1719</v>
      </c>
      <c r="F549" s="82" t="s">
        <v>1720</v>
      </c>
      <c r="G549" s="82" t="s">
        <v>1721</v>
      </c>
      <c r="H549" s="82" t="s">
        <v>1722</v>
      </c>
      <c r="I549" s="41"/>
      <c r="J549" s="82" t="s">
        <v>1723</v>
      </c>
      <c r="K549" s="82" t="s">
        <v>1724</v>
      </c>
      <c r="L549" s="82" t="s">
        <v>2520</v>
      </c>
      <c r="M549" s="83" t="s">
        <v>2521</v>
      </c>
      <c r="N549" s="74" t="b">
        <v>0</v>
      </c>
      <c r="O549" s="74" t="b">
        <v>0</v>
      </c>
      <c r="P549" s="74" t="b">
        <v>0</v>
      </c>
      <c r="Q549" s="82" t="s">
        <v>341</v>
      </c>
      <c r="R549" s="83" t="s">
        <v>803</v>
      </c>
      <c r="S549" s="82" t="s">
        <v>1728</v>
      </c>
      <c r="T549" s="41"/>
      <c r="U549" s="41"/>
      <c r="V549" s="41"/>
      <c r="W549" s="41"/>
      <c r="X549" s="41"/>
      <c r="Y549" s="41"/>
      <c r="Z549" s="41"/>
      <c r="AA549" s="41"/>
      <c r="AB549" s="41"/>
      <c r="AC549" s="41"/>
    </row>
    <row r="550" ht="15.75" customHeight="1">
      <c r="A550" s="82" t="s">
        <v>123</v>
      </c>
      <c r="B550" s="82" t="s">
        <v>2522</v>
      </c>
      <c r="C550" s="82" t="s">
        <v>140</v>
      </c>
      <c r="D550" s="82" t="s">
        <v>1718</v>
      </c>
      <c r="E550" s="82" t="s">
        <v>1719</v>
      </c>
      <c r="F550" s="82" t="s">
        <v>1720</v>
      </c>
      <c r="G550" s="82" t="s">
        <v>1721</v>
      </c>
      <c r="H550" s="82" t="s">
        <v>1722</v>
      </c>
      <c r="I550" s="41"/>
      <c r="J550" s="82" t="s">
        <v>1723</v>
      </c>
      <c r="K550" s="82" t="s">
        <v>1724</v>
      </c>
      <c r="L550" s="82" t="s">
        <v>2419</v>
      </c>
      <c r="M550" s="83" t="s">
        <v>2523</v>
      </c>
      <c r="N550" s="74" t="b">
        <v>0</v>
      </c>
      <c r="O550" s="74" t="b">
        <v>0</v>
      </c>
      <c r="P550" s="74" t="b">
        <v>0</v>
      </c>
      <c r="Q550" s="82" t="s">
        <v>341</v>
      </c>
      <c r="R550" s="83" t="s">
        <v>803</v>
      </c>
      <c r="S550" s="82" t="s">
        <v>1728</v>
      </c>
      <c r="T550" s="41"/>
      <c r="U550" s="41"/>
      <c r="V550" s="41"/>
      <c r="W550" s="41"/>
      <c r="X550" s="41"/>
      <c r="Y550" s="41"/>
      <c r="Z550" s="41"/>
      <c r="AA550" s="41"/>
      <c r="AB550" s="41"/>
      <c r="AC550" s="41"/>
    </row>
    <row r="551" ht="15.75" customHeight="1">
      <c r="A551" s="82" t="s">
        <v>123</v>
      </c>
      <c r="B551" s="82" t="s">
        <v>2524</v>
      </c>
      <c r="C551" s="82" t="s">
        <v>140</v>
      </c>
      <c r="D551" s="82" t="s">
        <v>1718</v>
      </c>
      <c r="E551" s="82" t="s">
        <v>1719</v>
      </c>
      <c r="F551" s="82" t="s">
        <v>1720</v>
      </c>
      <c r="G551" s="82" t="s">
        <v>1721</v>
      </c>
      <c r="H551" s="82" t="s">
        <v>1722</v>
      </c>
      <c r="I551" s="41"/>
      <c r="J551" s="82" t="s">
        <v>1723</v>
      </c>
      <c r="K551" s="82" t="s">
        <v>1724</v>
      </c>
      <c r="L551" s="82" t="s">
        <v>2413</v>
      </c>
      <c r="M551" s="83" t="s">
        <v>2525</v>
      </c>
      <c r="N551" s="74" t="b">
        <v>0</v>
      </c>
      <c r="O551" s="74" t="b">
        <v>0</v>
      </c>
      <c r="P551" s="74" t="b">
        <v>0</v>
      </c>
      <c r="Q551" s="82" t="s">
        <v>341</v>
      </c>
      <c r="R551" s="83" t="s">
        <v>803</v>
      </c>
      <c r="S551" s="82" t="s">
        <v>1728</v>
      </c>
      <c r="T551" s="41"/>
      <c r="U551" s="41"/>
      <c r="V551" s="41"/>
      <c r="W551" s="41"/>
      <c r="X551" s="41"/>
      <c r="Y551" s="41"/>
      <c r="Z551" s="41"/>
      <c r="AA551" s="41"/>
      <c r="AB551" s="41"/>
      <c r="AC551" s="41"/>
    </row>
    <row r="552" ht="15.75" customHeight="1">
      <c r="A552" s="82" t="s">
        <v>123</v>
      </c>
      <c r="B552" s="82" t="s">
        <v>2526</v>
      </c>
      <c r="C552" s="82" t="s">
        <v>140</v>
      </c>
      <c r="D552" s="82" t="s">
        <v>1718</v>
      </c>
      <c r="E552" s="82" t="s">
        <v>1719</v>
      </c>
      <c r="F552" s="82" t="s">
        <v>1754</v>
      </c>
      <c r="G552" s="82" t="s">
        <v>1721</v>
      </c>
      <c r="H552" s="82" t="s">
        <v>1722</v>
      </c>
      <c r="I552" s="41"/>
      <c r="J552" s="82" t="s">
        <v>1723</v>
      </c>
      <c r="K552" s="82" t="s">
        <v>1724</v>
      </c>
      <c r="L552" s="82" t="s">
        <v>2440</v>
      </c>
      <c r="M552" s="83" t="s">
        <v>2527</v>
      </c>
      <c r="N552" s="74" t="b">
        <v>0</v>
      </c>
      <c r="O552" s="74" t="b">
        <v>0</v>
      </c>
      <c r="P552" s="74" t="b">
        <v>0</v>
      </c>
      <c r="Q552" s="82" t="s">
        <v>341</v>
      </c>
      <c r="R552" s="83" t="s">
        <v>803</v>
      </c>
      <c r="S552" s="82" t="s">
        <v>1728</v>
      </c>
      <c r="T552" s="41"/>
      <c r="U552" s="41"/>
      <c r="V552" s="41"/>
      <c r="W552" s="41"/>
      <c r="X552" s="41"/>
      <c r="Y552" s="41"/>
      <c r="Z552" s="41"/>
      <c r="AA552" s="41"/>
      <c r="AB552" s="41"/>
      <c r="AC552" s="41"/>
    </row>
    <row r="553" ht="15.75" customHeight="1">
      <c r="A553" s="82" t="s">
        <v>123</v>
      </c>
      <c r="B553" s="82" t="s">
        <v>2528</v>
      </c>
      <c r="C553" s="82" t="s">
        <v>140</v>
      </c>
      <c r="D553" s="82" t="s">
        <v>1718</v>
      </c>
      <c r="E553" s="82" t="s">
        <v>1719</v>
      </c>
      <c r="F553" s="82" t="s">
        <v>1754</v>
      </c>
      <c r="G553" s="82" t="s">
        <v>1721</v>
      </c>
      <c r="H553" s="82" t="s">
        <v>1722</v>
      </c>
      <c r="I553" s="41"/>
      <c r="J553" s="82" t="s">
        <v>1723</v>
      </c>
      <c r="K553" s="82" t="s">
        <v>1724</v>
      </c>
      <c r="L553" s="82" t="s">
        <v>2529</v>
      </c>
      <c r="M553" s="83" t="s">
        <v>2530</v>
      </c>
      <c r="N553" s="74" t="b">
        <v>0</v>
      </c>
      <c r="O553" s="74" t="b">
        <v>0</v>
      </c>
      <c r="P553" s="74" t="b">
        <v>0</v>
      </c>
      <c r="Q553" s="82" t="s">
        <v>341</v>
      </c>
      <c r="R553" s="83" t="s">
        <v>803</v>
      </c>
      <c r="S553" s="82" t="s">
        <v>1728</v>
      </c>
      <c r="T553" s="41"/>
      <c r="U553" s="41"/>
      <c r="V553" s="41"/>
      <c r="W553" s="41"/>
      <c r="X553" s="41"/>
      <c r="Y553" s="41"/>
      <c r="Z553" s="41"/>
      <c r="AA553" s="41"/>
      <c r="AB553" s="41"/>
      <c r="AC553" s="41"/>
    </row>
    <row r="554" ht="15.75" customHeight="1">
      <c r="A554" s="82" t="s">
        <v>123</v>
      </c>
      <c r="B554" s="82" t="s">
        <v>2531</v>
      </c>
      <c r="C554" s="82" t="s">
        <v>140</v>
      </c>
      <c r="D554" s="82" t="s">
        <v>1718</v>
      </c>
      <c r="E554" s="82" t="s">
        <v>1719</v>
      </c>
      <c r="F554" s="82" t="s">
        <v>1720</v>
      </c>
      <c r="G554" s="82" t="s">
        <v>1721</v>
      </c>
      <c r="H554" s="82" t="s">
        <v>1722</v>
      </c>
      <c r="I554" s="41"/>
      <c r="J554" s="82" t="s">
        <v>1723</v>
      </c>
      <c r="K554" s="82" t="s">
        <v>1724</v>
      </c>
      <c r="L554" s="82" t="s">
        <v>2419</v>
      </c>
      <c r="M554" s="83" t="s">
        <v>2532</v>
      </c>
      <c r="N554" s="74" t="b">
        <v>0</v>
      </c>
      <c r="O554" s="74" t="b">
        <v>0</v>
      </c>
      <c r="P554" s="74" t="b">
        <v>0</v>
      </c>
      <c r="Q554" s="82" t="s">
        <v>341</v>
      </c>
      <c r="R554" s="83" t="s">
        <v>803</v>
      </c>
      <c r="S554" s="82" t="s">
        <v>1728</v>
      </c>
      <c r="T554" s="41"/>
      <c r="U554" s="41"/>
      <c r="V554" s="41"/>
      <c r="W554" s="41"/>
      <c r="X554" s="41"/>
      <c r="Y554" s="41"/>
      <c r="Z554" s="41"/>
      <c r="AA554" s="41"/>
      <c r="AB554" s="41"/>
      <c r="AC554" s="41"/>
    </row>
    <row r="555" ht="15.75" customHeight="1">
      <c r="A555" s="82" t="s">
        <v>123</v>
      </c>
      <c r="B555" s="82" t="s">
        <v>2533</v>
      </c>
      <c r="C555" s="82" t="s">
        <v>140</v>
      </c>
      <c r="D555" s="82" t="s">
        <v>1718</v>
      </c>
      <c r="E555" s="82" t="s">
        <v>1719</v>
      </c>
      <c r="F555" s="82" t="s">
        <v>1730</v>
      </c>
      <c r="G555" s="82" t="s">
        <v>1721</v>
      </c>
      <c r="H555" s="82" t="s">
        <v>1722</v>
      </c>
      <c r="I555" s="41"/>
      <c r="J555" s="82" t="s">
        <v>1723</v>
      </c>
      <c r="K555" s="82" t="s">
        <v>1724</v>
      </c>
      <c r="L555" s="82" t="s">
        <v>2534</v>
      </c>
      <c r="M555" s="83" t="s">
        <v>2535</v>
      </c>
      <c r="N555" s="74" t="b">
        <v>0</v>
      </c>
      <c r="O555" s="74" t="b">
        <v>0</v>
      </c>
      <c r="P555" s="74" t="b">
        <v>0</v>
      </c>
      <c r="Q555" s="82" t="s">
        <v>341</v>
      </c>
      <c r="R555" s="83" t="s">
        <v>803</v>
      </c>
      <c r="S555" s="82" t="s">
        <v>1728</v>
      </c>
      <c r="T555" s="41"/>
      <c r="U555" s="41"/>
      <c r="V555" s="41"/>
      <c r="W555" s="41"/>
      <c r="X555" s="41"/>
      <c r="Y555" s="41"/>
      <c r="Z555" s="41"/>
      <c r="AA555" s="41"/>
      <c r="AB555" s="41"/>
      <c r="AC555" s="41"/>
    </row>
    <row r="556" ht="15.75" customHeight="1">
      <c r="A556" s="82" t="s">
        <v>123</v>
      </c>
      <c r="B556" s="82" t="s">
        <v>2536</v>
      </c>
      <c r="C556" s="82" t="s">
        <v>140</v>
      </c>
      <c r="D556" s="82" t="s">
        <v>1718</v>
      </c>
      <c r="E556" s="82" t="s">
        <v>1719</v>
      </c>
      <c r="F556" s="82" t="s">
        <v>1720</v>
      </c>
      <c r="G556" s="82" t="s">
        <v>1721</v>
      </c>
      <c r="H556" s="82" t="s">
        <v>1722</v>
      </c>
      <c r="I556" s="41"/>
      <c r="J556" s="82" t="s">
        <v>1723</v>
      </c>
      <c r="K556" s="82" t="s">
        <v>1724</v>
      </c>
      <c r="L556" s="82" t="s">
        <v>2537</v>
      </c>
      <c r="M556" s="83" t="s">
        <v>2538</v>
      </c>
      <c r="N556" s="74" t="b">
        <v>0</v>
      </c>
      <c r="O556" s="74" t="b">
        <v>0</v>
      </c>
      <c r="P556" s="74" t="b">
        <v>0</v>
      </c>
      <c r="Q556" s="82" t="s">
        <v>341</v>
      </c>
      <c r="R556" s="83" t="s">
        <v>803</v>
      </c>
      <c r="S556" s="82" t="s">
        <v>1728</v>
      </c>
      <c r="T556" s="41"/>
      <c r="U556" s="41"/>
      <c r="V556" s="41"/>
      <c r="W556" s="41"/>
      <c r="X556" s="41"/>
      <c r="Y556" s="41"/>
      <c r="Z556" s="41"/>
      <c r="AA556" s="41"/>
      <c r="AB556" s="41"/>
      <c r="AC556" s="41"/>
    </row>
    <row r="557" ht="15.75" customHeight="1">
      <c r="A557" s="82" t="s">
        <v>123</v>
      </c>
      <c r="B557" s="82" t="s">
        <v>2539</v>
      </c>
      <c r="C557" s="82" t="s">
        <v>140</v>
      </c>
      <c r="D557" s="82" t="s">
        <v>1718</v>
      </c>
      <c r="E557" s="82" t="s">
        <v>1719</v>
      </c>
      <c r="F557" s="82" t="s">
        <v>1720</v>
      </c>
      <c r="G557" s="82" t="s">
        <v>1721</v>
      </c>
      <c r="H557" s="82" t="s">
        <v>1722</v>
      </c>
      <c r="I557" s="41"/>
      <c r="J557" s="82" t="s">
        <v>1723</v>
      </c>
      <c r="K557" s="82" t="s">
        <v>1724</v>
      </c>
      <c r="L557" s="82" t="s">
        <v>2413</v>
      </c>
      <c r="M557" s="83" t="s">
        <v>2540</v>
      </c>
      <c r="N557" s="74" t="b">
        <v>0</v>
      </c>
      <c r="O557" s="74" t="b">
        <v>0</v>
      </c>
      <c r="P557" s="74" t="b">
        <v>0</v>
      </c>
      <c r="Q557" s="82" t="s">
        <v>341</v>
      </c>
      <c r="R557" s="83" t="s">
        <v>803</v>
      </c>
      <c r="S557" s="82" t="s">
        <v>1728</v>
      </c>
      <c r="T557" s="41"/>
      <c r="U557" s="41"/>
      <c r="V557" s="41"/>
      <c r="W557" s="41"/>
      <c r="X557" s="41"/>
      <c r="Y557" s="41"/>
      <c r="Z557" s="41"/>
      <c r="AA557" s="41"/>
      <c r="AB557" s="41"/>
      <c r="AC557" s="41"/>
    </row>
    <row r="558" ht="15.75" customHeight="1">
      <c r="A558" s="82" t="s">
        <v>123</v>
      </c>
      <c r="B558" s="82" t="s">
        <v>2541</v>
      </c>
      <c r="C558" s="82" t="s">
        <v>140</v>
      </c>
      <c r="D558" s="82" t="s">
        <v>1718</v>
      </c>
      <c r="E558" s="82" t="s">
        <v>1719</v>
      </c>
      <c r="F558" s="82" t="s">
        <v>1754</v>
      </c>
      <c r="G558" s="82" t="s">
        <v>1721</v>
      </c>
      <c r="H558" s="82" t="s">
        <v>1722</v>
      </c>
      <c r="I558" s="41"/>
      <c r="J558" s="82" t="s">
        <v>1723</v>
      </c>
      <c r="K558" s="82" t="s">
        <v>1724</v>
      </c>
      <c r="L558" s="82" t="s">
        <v>2542</v>
      </c>
      <c r="M558" s="83" t="s">
        <v>2543</v>
      </c>
      <c r="N558" s="74" t="b">
        <v>0</v>
      </c>
      <c r="O558" s="74" t="b">
        <v>0</v>
      </c>
      <c r="P558" s="74" t="b">
        <v>0</v>
      </c>
      <c r="Q558" s="82" t="s">
        <v>341</v>
      </c>
      <c r="R558" s="83" t="s">
        <v>803</v>
      </c>
      <c r="S558" s="82" t="s">
        <v>1728</v>
      </c>
      <c r="T558" s="41"/>
      <c r="U558" s="41"/>
      <c r="V558" s="41"/>
      <c r="W558" s="41"/>
      <c r="X558" s="41"/>
      <c r="Y558" s="41"/>
      <c r="Z558" s="41"/>
      <c r="AA558" s="41"/>
      <c r="AB558" s="41"/>
      <c r="AC558" s="41"/>
    </row>
    <row r="559" ht="15.75" customHeight="1">
      <c r="A559" s="82" t="s">
        <v>123</v>
      </c>
      <c r="B559" s="82" t="s">
        <v>2544</v>
      </c>
      <c r="C559" s="82" t="s">
        <v>140</v>
      </c>
      <c r="D559" s="82" t="s">
        <v>1718</v>
      </c>
      <c r="E559" s="82" t="s">
        <v>1719</v>
      </c>
      <c r="F559" s="82" t="s">
        <v>1720</v>
      </c>
      <c r="G559" s="82" t="s">
        <v>1721</v>
      </c>
      <c r="H559" s="82" t="s">
        <v>1722</v>
      </c>
      <c r="I559" s="41"/>
      <c r="J559" s="82" t="s">
        <v>1723</v>
      </c>
      <c r="K559" s="82" t="s">
        <v>1724</v>
      </c>
      <c r="L559" s="82" t="s">
        <v>2473</v>
      </c>
      <c r="M559" s="83" t="s">
        <v>2545</v>
      </c>
      <c r="N559" s="74" t="b">
        <v>0</v>
      </c>
      <c r="O559" s="74" t="b">
        <v>0</v>
      </c>
      <c r="P559" s="74" t="b">
        <v>0</v>
      </c>
      <c r="Q559" s="82" t="s">
        <v>341</v>
      </c>
      <c r="R559" s="83" t="s">
        <v>803</v>
      </c>
      <c r="S559" s="82" t="s">
        <v>1728</v>
      </c>
      <c r="T559" s="41"/>
      <c r="U559" s="41"/>
      <c r="V559" s="41"/>
      <c r="W559" s="41"/>
      <c r="X559" s="41"/>
      <c r="Y559" s="41"/>
      <c r="Z559" s="41"/>
      <c r="AA559" s="41"/>
      <c r="AB559" s="41"/>
      <c r="AC559" s="41"/>
    </row>
    <row r="560" ht="15.75" customHeight="1">
      <c r="A560" s="82" t="s">
        <v>123</v>
      </c>
      <c r="B560" s="82" t="s">
        <v>2546</v>
      </c>
      <c r="C560" s="82" t="s">
        <v>140</v>
      </c>
      <c r="D560" s="82" t="s">
        <v>1718</v>
      </c>
      <c r="E560" s="82" t="s">
        <v>1719</v>
      </c>
      <c r="F560" s="82" t="s">
        <v>1720</v>
      </c>
      <c r="G560" s="82" t="s">
        <v>1721</v>
      </c>
      <c r="H560" s="82" t="s">
        <v>1722</v>
      </c>
      <c r="I560" s="41"/>
      <c r="J560" s="82" t="s">
        <v>1723</v>
      </c>
      <c r="K560" s="82" t="s">
        <v>1724</v>
      </c>
      <c r="L560" s="82" t="s">
        <v>2547</v>
      </c>
      <c r="M560" s="83" t="s">
        <v>2548</v>
      </c>
      <c r="N560" s="74" t="b">
        <v>0</v>
      </c>
      <c r="O560" s="74" t="b">
        <v>0</v>
      </c>
      <c r="P560" s="74" t="b">
        <v>0</v>
      </c>
      <c r="Q560" s="82" t="s">
        <v>341</v>
      </c>
      <c r="R560" s="83" t="s">
        <v>803</v>
      </c>
      <c r="S560" s="82" t="s">
        <v>1728</v>
      </c>
      <c r="T560" s="41"/>
      <c r="U560" s="41"/>
      <c r="V560" s="41"/>
      <c r="W560" s="41"/>
      <c r="X560" s="41"/>
      <c r="Y560" s="41"/>
      <c r="Z560" s="41"/>
      <c r="AA560" s="41"/>
      <c r="AB560" s="41"/>
      <c r="AC560" s="41"/>
    </row>
    <row r="561" ht="15.75" customHeight="1">
      <c r="A561" s="82" t="s">
        <v>123</v>
      </c>
      <c r="B561" s="82" t="s">
        <v>2549</v>
      </c>
      <c r="C561" s="82" t="s">
        <v>140</v>
      </c>
      <c r="D561" s="82" t="s">
        <v>1718</v>
      </c>
      <c r="E561" s="82" t="s">
        <v>1719</v>
      </c>
      <c r="F561" s="82" t="s">
        <v>1720</v>
      </c>
      <c r="G561" s="82" t="s">
        <v>1721</v>
      </c>
      <c r="H561" s="82" t="s">
        <v>1722</v>
      </c>
      <c r="I561" s="41"/>
      <c r="J561" s="82" t="s">
        <v>1723</v>
      </c>
      <c r="K561" s="82" t="s">
        <v>1724</v>
      </c>
      <c r="L561" s="82" t="s">
        <v>2550</v>
      </c>
      <c r="M561" s="83" t="s">
        <v>2551</v>
      </c>
      <c r="N561" s="74" t="b">
        <v>0</v>
      </c>
      <c r="O561" s="74" t="b">
        <v>0</v>
      </c>
      <c r="P561" s="74" t="b">
        <v>0</v>
      </c>
      <c r="Q561" s="82" t="s">
        <v>341</v>
      </c>
      <c r="R561" s="83" t="s">
        <v>803</v>
      </c>
      <c r="S561" s="82" t="s">
        <v>1728</v>
      </c>
      <c r="T561" s="41"/>
      <c r="U561" s="41"/>
      <c r="V561" s="41"/>
      <c r="W561" s="41"/>
      <c r="X561" s="41"/>
      <c r="Y561" s="41"/>
      <c r="Z561" s="41"/>
      <c r="AA561" s="41"/>
      <c r="AB561" s="41"/>
      <c r="AC561" s="41"/>
    </row>
    <row r="562" ht="15.75" customHeight="1">
      <c r="A562" s="82" t="s">
        <v>123</v>
      </c>
      <c r="B562" s="82" t="s">
        <v>2552</v>
      </c>
      <c r="C562" s="82" t="s">
        <v>140</v>
      </c>
      <c r="D562" s="82" t="s">
        <v>1718</v>
      </c>
      <c r="E562" s="82" t="s">
        <v>1719</v>
      </c>
      <c r="F562" s="82" t="s">
        <v>1720</v>
      </c>
      <c r="G562" s="82" t="s">
        <v>1721</v>
      </c>
      <c r="H562" s="82" t="s">
        <v>1722</v>
      </c>
      <c r="I562" s="41"/>
      <c r="J562" s="82" t="s">
        <v>1723</v>
      </c>
      <c r="K562" s="82" t="s">
        <v>1724</v>
      </c>
      <c r="L562" s="82" t="s">
        <v>2553</v>
      </c>
      <c r="M562" s="83" t="s">
        <v>2554</v>
      </c>
      <c r="N562" s="74" t="b">
        <v>0</v>
      </c>
      <c r="O562" s="74" t="b">
        <v>0</v>
      </c>
      <c r="P562" s="74" t="b">
        <v>0</v>
      </c>
      <c r="Q562" s="82" t="s">
        <v>341</v>
      </c>
      <c r="R562" s="83" t="s">
        <v>803</v>
      </c>
      <c r="S562" s="82" t="s">
        <v>1728</v>
      </c>
      <c r="T562" s="41"/>
      <c r="U562" s="41"/>
      <c r="V562" s="41"/>
      <c r="W562" s="41"/>
      <c r="X562" s="41"/>
      <c r="Y562" s="41"/>
      <c r="Z562" s="41"/>
      <c r="AA562" s="41"/>
      <c r="AB562" s="41"/>
      <c r="AC562" s="41"/>
    </row>
    <row r="563" ht="15.75" customHeight="1">
      <c r="A563" s="82" t="s">
        <v>123</v>
      </c>
      <c r="B563" s="82" t="s">
        <v>2555</v>
      </c>
      <c r="C563" s="82" t="s">
        <v>140</v>
      </c>
      <c r="D563" s="82" t="s">
        <v>1718</v>
      </c>
      <c r="E563" s="82" t="s">
        <v>1719</v>
      </c>
      <c r="F563" s="82" t="s">
        <v>1720</v>
      </c>
      <c r="G563" s="82" t="s">
        <v>1721</v>
      </c>
      <c r="H563" s="82" t="s">
        <v>1722</v>
      </c>
      <c r="I563" s="41"/>
      <c r="J563" s="82" t="s">
        <v>1723</v>
      </c>
      <c r="K563" s="82" t="s">
        <v>1724</v>
      </c>
      <c r="L563" s="82" t="s">
        <v>2556</v>
      </c>
      <c r="M563" s="83" t="s">
        <v>2557</v>
      </c>
      <c r="N563" s="74" t="b">
        <v>0</v>
      </c>
      <c r="O563" s="74" t="b">
        <v>0</v>
      </c>
      <c r="P563" s="74" t="b">
        <v>0</v>
      </c>
      <c r="Q563" s="82" t="s">
        <v>341</v>
      </c>
      <c r="R563" s="83" t="s">
        <v>803</v>
      </c>
      <c r="S563" s="82" t="s">
        <v>1728</v>
      </c>
      <c r="T563" s="41"/>
      <c r="U563" s="41"/>
      <c r="V563" s="41"/>
      <c r="W563" s="41"/>
      <c r="X563" s="41"/>
      <c r="Y563" s="41"/>
      <c r="Z563" s="41"/>
      <c r="AA563" s="41"/>
      <c r="AB563" s="41"/>
      <c r="AC563" s="41"/>
    </row>
    <row r="564" ht="15.75" customHeight="1">
      <c r="A564" s="82" t="s">
        <v>123</v>
      </c>
      <c r="B564" s="82" t="s">
        <v>2558</v>
      </c>
      <c r="C564" s="82" t="s">
        <v>140</v>
      </c>
      <c r="D564" s="82" t="s">
        <v>1718</v>
      </c>
      <c r="E564" s="82" t="s">
        <v>1719</v>
      </c>
      <c r="F564" s="82" t="s">
        <v>1754</v>
      </c>
      <c r="G564" s="82" t="s">
        <v>1721</v>
      </c>
      <c r="H564" s="82" t="s">
        <v>1722</v>
      </c>
      <c r="I564" s="41"/>
      <c r="J564" s="82" t="s">
        <v>1723</v>
      </c>
      <c r="K564" s="82" t="s">
        <v>1724</v>
      </c>
      <c r="L564" s="82" t="s">
        <v>2401</v>
      </c>
      <c r="M564" s="83" t="s">
        <v>2559</v>
      </c>
      <c r="N564" s="74" t="b">
        <v>0</v>
      </c>
      <c r="O564" s="74" t="b">
        <v>0</v>
      </c>
      <c r="P564" s="74" t="b">
        <v>0</v>
      </c>
      <c r="Q564" s="82" t="s">
        <v>341</v>
      </c>
      <c r="R564" s="83" t="s">
        <v>803</v>
      </c>
      <c r="S564" s="82" t="s">
        <v>1728</v>
      </c>
      <c r="T564" s="41"/>
      <c r="U564" s="41"/>
      <c r="V564" s="41"/>
      <c r="W564" s="41"/>
      <c r="X564" s="41"/>
      <c r="Y564" s="41"/>
      <c r="Z564" s="41"/>
      <c r="AA564" s="41"/>
      <c r="AB564" s="41"/>
      <c r="AC564" s="41"/>
    </row>
    <row r="565" ht="15.75" customHeight="1">
      <c r="A565" s="82" t="s">
        <v>123</v>
      </c>
      <c r="B565" s="82" t="s">
        <v>2560</v>
      </c>
      <c r="C565" s="82" t="s">
        <v>140</v>
      </c>
      <c r="D565" s="82" t="s">
        <v>1718</v>
      </c>
      <c r="E565" s="82" t="s">
        <v>1719</v>
      </c>
      <c r="F565" s="82" t="s">
        <v>1754</v>
      </c>
      <c r="G565" s="82" t="s">
        <v>1721</v>
      </c>
      <c r="H565" s="82" t="s">
        <v>1722</v>
      </c>
      <c r="I565" s="41"/>
      <c r="J565" s="82" t="s">
        <v>1723</v>
      </c>
      <c r="K565" s="82" t="s">
        <v>1724</v>
      </c>
      <c r="L565" s="82" t="s">
        <v>2561</v>
      </c>
      <c r="M565" s="83" t="s">
        <v>2562</v>
      </c>
      <c r="N565" s="74" t="b">
        <v>0</v>
      </c>
      <c r="O565" s="74" t="b">
        <v>0</v>
      </c>
      <c r="P565" s="74" t="b">
        <v>0</v>
      </c>
      <c r="Q565" s="82" t="s">
        <v>341</v>
      </c>
      <c r="R565" s="83" t="s">
        <v>803</v>
      </c>
      <c r="S565" s="82" t="s">
        <v>1728</v>
      </c>
      <c r="T565" s="41"/>
      <c r="U565" s="41"/>
      <c r="V565" s="41"/>
      <c r="W565" s="41"/>
      <c r="X565" s="41"/>
      <c r="Y565" s="41"/>
      <c r="Z565" s="41"/>
      <c r="AA565" s="41"/>
      <c r="AB565" s="41"/>
      <c r="AC565" s="41"/>
    </row>
    <row r="566" ht="15.75" customHeight="1">
      <c r="A566" s="82" t="s">
        <v>123</v>
      </c>
      <c r="B566" s="82" t="s">
        <v>2563</v>
      </c>
      <c r="C566" s="82" t="s">
        <v>140</v>
      </c>
      <c r="D566" s="82" t="s">
        <v>1718</v>
      </c>
      <c r="E566" s="82" t="s">
        <v>1719</v>
      </c>
      <c r="F566" s="82" t="s">
        <v>1730</v>
      </c>
      <c r="G566" s="82" t="s">
        <v>1721</v>
      </c>
      <c r="H566" s="82" t="s">
        <v>1722</v>
      </c>
      <c r="I566" s="41"/>
      <c r="J566" s="82" t="s">
        <v>1723</v>
      </c>
      <c r="K566" s="82" t="s">
        <v>1724</v>
      </c>
      <c r="L566" s="82" t="s">
        <v>2199</v>
      </c>
      <c r="M566" s="83" t="s">
        <v>2564</v>
      </c>
      <c r="N566" s="74" t="b">
        <v>0</v>
      </c>
      <c r="O566" s="74" t="b">
        <v>0</v>
      </c>
      <c r="P566" s="74" t="b">
        <v>0</v>
      </c>
      <c r="Q566" s="82" t="s">
        <v>341</v>
      </c>
      <c r="R566" s="83" t="s">
        <v>803</v>
      </c>
      <c r="S566" s="82" t="s">
        <v>1728</v>
      </c>
      <c r="T566" s="41"/>
      <c r="U566" s="41"/>
      <c r="V566" s="41"/>
      <c r="W566" s="41"/>
      <c r="X566" s="41"/>
      <c r="Y566" s="41"/>
      <c r="Z566" s="41"/>
      <c r="AA566" s="41"/>
      <c r="AB566" s="41"/>
      <c r="AC566" s="41"/>
    </row>
    <row r="567" ht="15.75" customHeight="1">
      <c r="A567" s="82" t="s">
        <v>123</v>
      </c>
      <c r="B567" s="82" t="s">
        <v>2565</v>
      </c>
      <c r="C567" s="82" t="s">
        <v>140</v>
      </c>
      <c r="D567" s="82" t="s">
        <v>1718</v>
      </c>
      <c r="E567" s="82" t="s">
        <v>1719</v>
      </c>
      <c r="F567" s="82" t="s">
        <v>1720</v>
      </c>
      <c r="G567" s="82" t="s">
        <v>1721</v>
      </c>
      <c r="H567" s="82" t="s">
        <v>1722</v>
      </c>
      <c r="I567" s="41"/>
      <c r="J567" s="82" t="s">
        <v>1723</v>
      </c>
      <c r="K567" s="82" t="s">
        <v>1724</v>
      </c>
      <c r="L567" s="82" t="s">
        <v>2419</v>
      </c>
      <c r="M567" s="83" t="s">
        <v>2566</v>
      </c>
      <c r="N567" s="74" t="b">
        <v>0</v>
      </c>
      <c r="O567" s="74" t="b">
        <v>0</v>
      </c>
      <c r="P567" s="74" t="b">
        <v>0</v>
      </c>
      <c r="Q567" s="82" t="s">
        <v>341</v>
      </c>
      <c r="R567" s="83" t="s">
        <v>803</v>
      </c>
      <c r="S567" s="82" t="s">
        <v>1728</v>
      </c>
      <c r="T567" s="41"/>
      <c r="U567" s="41"/>
      <c r="V567" s="41"/>
      <c r="W567" s="41"/>
      <c r="X567" s="41"/>
      <c r="Y567" s="41"/>
      <c r="Z567" s="41"/>
      <c r="AA567" s="41"/>
      <c r="AB567" s="41"/>
      <c r="AC567" s="41"/>
    </row>
    <row r="568" ht="15.75" customHeight="1">
      <c r="A568" s="82" t="s">
        <v>123</v>
      </c>
      <c r="B568" s="82" t="s">
        <v>2567</v>
      </c>
      <c r="C568" s="82" t="s">
        <v>140</v>
      </c>
      <c r="D568" s="82" t="s">
        <v>1718</v>
      </c>
      <c r="E568" s="82" t="s">
        <v>1719</v>
      </c>
      <c r="F568" s="82" t="s">
        <v>1730</v>
      </c>
      <c r="G568" s="82" t="s">
        <v>1721</v>
      </c>
      <c r="H568" s="82" t="s">
        <v>1722</v>
      </c>
      <c r="I568" s="41"/>
      <c r="J568" s="82" t="s">
        <v>1723</v>
      </c>
      <c r="K568" s="82" t="s">
        <v>1724</v>
      </c>
      <c r="L568" s="82" t="s">
        <v>2199</v>
      </c>
      <c r="M568" s="83" t="s">
        <v>2568</v>
      </c>
      <c r="N568" s="74" t="b">
        <v>0</v>
      </c>
      <c r="O568" s="74" t="b">
        <v>0</v>
      </c>
      <c r="P568" s="74" t="b">
        <v>0</v>
      </c>
      <c r="Q568" s="82" t="s">
        <v>341</v>
      </c>
      <c r="R568" s="83" t="s">
        <v>803</v>
      </c>
      <c r="S568" s="82" t="s">
        <v>1728</v>
      </c>
      <c r="T568" s="41"/>
      <c r="U568" s="41"/>
      <c r="V568" s="41"/>
      <c r="W568" s="41"/>
      <c r="X568" s="41"/>
      <c r="Y568" s="41"/>
      <c r="Z568" s="41"/>
      <c r="AA568" s="41"/>
      <c r="AB568" s="41"/>
      <c r="AC568" s="41"/>
    </row>
    <row r="569" ht="15.75" customHeight="1">
      <c r="A569" s="82" t="s">
        <v>123</v>
      </c>
      <c r="B569" s="82" t="s">
        <v>2569</v>
      </c>
      <c r="C569" s="82" t="s">
        <v>140</v>
      </c>
      <c r="D569" s="82" t="s">
        <v>1718</v>
      </c>
      <c r="E569" s="82" t="s">
        <v>1719</v>
      </c>
      <c r="F569" s="82" t="s">
        <v>1730</v>
      </c>
      <c r="G569" s="82" t="s">
        <v>1721</v>
      </c>
      <c r="H569" s="82" t="s">
        <v>1722</v>
      </c>
      <c r="I569" s="41"/>
      <c r="J569" s="82" t="s">
        <v>1723</v>
      </c>
      <c r="K569" s="82" t="s">
        <v>1724</v>
      </c>
      <c r="L569" s="82" t="s">
        <v>2503</v>
      </c>
      <c r="M569" s="83" t="s">
        <v>2570</v>
      </c>
      <c r="N569" s="74" t="b">
        <v>0</v>
      </c>
      <c r="O569" s="74" t="b">
        <v>0</v>
      </c>
      <c r="P569" s="74" t="b">
        <v>0</v>
      </c>
      <c r="Q569" s="82" t="s">
        <v>341</v>
      </c>
      <c r="R569" s="83" t="s">
        <v>803</v>
      </c>
      <c r="S569" s="82" t="s">
        <v>1728</v>
      </c>
      <c r="T569" s="41"/>
      <c r="U569" s="41"/>
      <c r="V569" s="41"/>
      <c r="W569" s="41"/>
      <c r="X569" s="41"/>
      <c r="Y569" s="41"/>
      <c r="Z569" s="41"/>
      <c r="AA569" s="41"/>
      <c r="AB569" s="41"/>
      <c r="AC569" s="41"/>
    </row>
    <row r="570" ht="15.75" customHeight="1">
      <c r="A570" s="82" t="s">
        <v>123</v>
      </c>
      <c r="B570" s="82" t="s">
        <v>2571</v>
      </c>
      <c r="C570" s="82" t="s">
        <v>140</v>
      </c>
      <c r="D570" s="82" t="s">
        <v>1718</v>
      </c>
      <c r="E570" s="82" t="s">
        <v>1719</v>
      </c>
      <c r="F570" s="82" t="s">
        <v>1720</v>
      </c>
      <c r="G570" s="82" t="s">
        <v>1721</v>
      </c>
      <c r="H570" s="82" t="s">
        <v>1722</v>
      </c>
      <c r="I570" s="41"/>
      <c r="J570" s="82" t="s">
        <v>1723</v>
      </c>
      <c r="K570" s="82" t="s">
        <v>1724</v>
      </c>
      <c r="L570" s="82" t="s">
        <v>2413</v>
      </c>
      <c r="M570" s="83" t="s">
        <v>2572</v>
      </c>
      <c r="N570" s="74" t="b">
        <v>0</v>
      </c>
      <c r="O570" s="74" t="b">
        <v>0</v>
      </c>
      <c r="P570" s="74" t="b">
        <v>0</v>
      </c>
      <c r="Q570" s="82" t="s">
        <v>341</v>
      </c>
      <c r="R570" s="83" t="s">
        <v>803</v>
      </c>
      <c r="S570" s="82" t="s">
        <v>1728</v>
      </c>
      <c r="T570" s="41"/>
      <c r="U570" s="41"/>
      <c r="V570" s="41"/>
      <c r="W570" s="41"/>
      <c r="X570" s="41"/>
      <c r="Y570" s="41"/>
      <c r="Z570" s="41"/>
      <c r="AA570" s="41"/>
      <c r="AB570" s="41"/>
      <c r="AC570" s="41"/>
    </row>
    <row r="571" ht="15.75" customHeight="1">
      <c r="A571" s="82" t="s">
        <v>123</v>
      </c>
      <c r="B571" s="82" t="s">
        <v>2573</v>
      </c>
      <c r="C571" s="82" t="s">
        <v>140</v>
      </c>
      <c r="D571" s="82" t="s">
        <v>1718</v>
      </c>
      <c r="E571" s="82" t="s">
        <v>1719</v>
      </c>
      <c r="F571" s="82" t="s">
        <v>1730</v>
      </c>
      <c r="G571" s="82" t="s">
        <v>1721</v>
      </c>
      <c r="H571" s="82" t="s">
        <v>1722</v>
      </c>
      <c r="I571" s="41"/>
      <c r="J571" s="82" t="s">
        <v>1723</v>
      </c>
      <c r="K571" s="82" t="s">
        <v>1724</v>
      </c>
      <c r="L571" s="82" t="s">
        <v>2199</v>
      </c>
      <c r="M571" s="83" t="s">
        <v>2574</v>
      </c>
      <c r="N571" s="74" t="b">
        <v>0</v>
      </c>
      <c r="O571" s="74" t="b">
        <v>0</v>
      </c>
      <c r="P571" s="74" t="b">
        <v>0</v>
      </c>
      <c r="Q571" s="82" t="s">
        <v>341</v>
      </c>
      <c r="R571" s="83" t="s">
        <v>803</v>
      </c>
      <c r="S571" s="82" t="s">
        <v>1728</v>
      </c>
      <c r="T571" s="41"/>
      <c r="U571" s="41"/>
      <c r="V571" s="41"/>
      <c r="W571" s="41"/>
      <c r="X571" s="41"/>
      <c r="Y571" s="41"/>
      <c r="Z571" s="41"/>
      <c r="AA571" s="41"/>
      <c r="AB571" s="41"/>
      <c r="AC571" s="41"/>
    </row>
    <row r="572" ht="15.75" customHeight="1">
      <c r="A572" s="82" t="s">
        <v>123</v>
      </c>
      <c r="B572" s="82" t="s">
        <v>2575</v>
      </c>
      <c r="C572" s="82" t="s">
        <v>140</v>
      </c>
      <c r="D572" s="82" t="s">
        <v>1718</v>
      </c>
      <c r="E572" s="82" t="s">
        <v>1719</v>
      </c>
      <c r="F572" s="82" t="s">
        <v>1754</v>
      </c>
      <c r="G572" s="82" t="s">
        <v>1721</v>
      </c>
      <c r="H572" s="82" t="s">
        <v>1722</v>
      </c>
      <c r="I572" s="41"/>
      <c r="J572" s="82" t="s">
        <v>1723</v>
      </c>
      <c r="K572" s="82" t="s">
        <v>1724</v>
      </c>
      <c r="L572" s="82" t="s">
        <v>2576</v>
      </c>
      <c r="M572" s="83" t="s">
        <v>2577</v>
      </c>
      <c r="N572" s="74" t="b">
        <v>0</v>
      </c>
      <c r="O572" s="74" t="b">
        <v>0</v>
      </c>
      <c r="P572" s="74" t="b">
        <v>0</v>
      </c>
      <c r="Q572" s="82" t="s">
        <v>341</v>
      </c>
      <c r="R572" s="83" t="s">
        <v>803</v>
      </c>
      <c r="S572" s="82" t="s">
        <v>1728</v>
      </c>
      <c r="T572" s="41"/>
      <c r="U572" s="41"/>
      <c r="V572" s="41"/>
      <c r="W572" s="41"/>
      <c r="X572" s="41"/>
      <c r="Y572" s="41"/>
      <c r="Z572" s="41"/>
      <c r="AA572" s="41"/>
      <c r="AB572" s="41"/>
      <c r="AC572" s="41"/>
    </row>
    <row r="573" ht="15.75" customHeight="1">
      <c r="A573" s="82" t="s">
        <v>123</v>
      </c>
      <c r="B573" s="82" t="s">
        <v>2578</v>
      </c>
      <c r="C573" s="82" t="s">
        <v>140</v>
      </c>
      <c r="D573" s="82" t="s">
        <v>1718</v>
      </c>
      <c r="E573" s="82" t="s">
        <v>1719</v>
      </c>
      <c r="F573" s="82" t="s">
        <v>1720</v>
      </c>
      <c r="G573" s="82" t="s">
        <v>1721</v>
      </c>
      <c r="H573" s="82" t="s">
        <v>1722</v>
      </c>
      <c r="I573" s="41"/>
      <c r="J573" s="82" t="s">
        <v>1723</v>
      </c>
      <c r="K573" s="82" t="s">
        <v>1724</v>
      </c>
      <c r="L573" s="82" t="s">
        <v>2413</v>
      </c>
      <c r="M573" s="83" t="s">
        <v>2579</v>
      </c>
      <c r="N573" s="74" t="b">
        <v>0</v>
      </c>
      <c r="O573" s="74" t="b">
        <v>0</v>
      </c>
      <c r="P573" s="74" t="b">
        <v>0</v>
      </c>
      <c r="Q573" s="82" t="s">
        <v>341</v>
      </c>
      <c r="R573" s="83" t="s">
        <v>803</v>
      </c>
      <c r="S573" s="82" t="s">
        <v>1728</v>
      </c>
      <c r="T573" s="41"/>
      <c r="U573" s="41"/>
      <c r="V573" s="41"/>
      <c r="W573" s="41"/>
      <c r="X573" s="41"/>
      <c r="Y573" s="41"/>
      <c r="Z573" s="41"/>
      <c r="AA573" s="41"/>
      <c r="AB573" s="41"/>
      <c r="AC573" s="41"/>
    </row>
    <row r="574" ht="15.75" customHeight="1">
      <c r="A574" s="82" t="s">
        <v>123</v>
      </c>
      <c r="B574" s="82" t="s">
        <v>2580</v>
      </c>
      <c r="C574" s="82" t="s">
        <v>140</v>
      </c>
      <c r="D574" s="82" t="s">
        <v>1718</v>
      </c>
      <c r="E574" s="82" t="s">
        <v>1719</v>
      </c>
      <c r="F574" s="82" t="s">
        <v>1720</v>
      </c>
      <c r="G574" s="82" t="s">
        <v>1721</v>
      </c>
      <c r="H574" s="82" t="s">
        <v>1722</v>
      </c>
      <c r="I574" s="41"/>
      <c r="J574" s="82" t="s">
        <v>1723</v>
      </c>
      <c r="K574" s="82" t="s">
        <v>1724</v>
      </c>
      <c r="L574" s="82" t="s">
        <v>2413</v>
      </c>
      <c r="M574" s="83" t="s">
        <v>2581</v>
      </c>
      <c r="N574" s="74" t="b">
        <v>0</v>
      </c>
      <c r="O574" s="74" t="b">
        <v>0</v>
      </c>
      <c r="P574" s="74" t="b">
        <v>0</v>
      </c>
      <c r="Q574" s="82" t="s">
        <v>341</v>
      </c>
      <c r="R574" s="83" t="s">
        <v>803</v>
      </c>
      <c r="S574" s="82" t="s">
        <v>1728</v>
      </c>
      <c r="T574" s="41"/>
      <c r="U574" s="41"/>
      <c r="V574" s="41"/>
      <c r="W574" s="41"/>
      <c r="X574" s="41"/>
      <c r="Y574" s="41"/>
      <c r="Z574" s="41"/>
      <c r="AA574" s="41"/>
      <c r="AB574" s="41"/>
      <c r="AC574" s="41"/>
    </row>
    <row r="575" ht="15.75" customHeight="1">
      <c r="A575" s="82" t="s">
        <v>123</v>
      </c>
      <c r="B575" s="82" t="s">
        <v>2582</v>
      </c>
      <c r="C575" s="82" t="s">
        <v>140</v>
      </c>
      <c r="D575" s="82" t="s">
        <v>1718</v>
      </c>
      <c r="E575" s="82" t="s">
        <v>1719</v>
      </c>
      <c r="F575" s="82" t="s">
        <v>1754</v>
      </c>
      <c r="G575" s="82" t="s">
        <v>1721</v>
      </c>
      <c r="H575" s="82" t="s">
        <v>1722</v>
      </c>
      <c r="I575" s="41"/>
      <c r="J575" s="82" t="s">
        <v>1723</v>
      </c>
      <c r="K575" s="82" t="s">
        <v>1724</v>
      </c>
      <c r="L575" s="82" t="s">
        <v>2583</v>
      </c>
      <c r="M575" s="83" t="s">
        <v>2584</v>
      </c>
      <c r="N575" s="74" t="b">
        <v>0</v>
      </c>
      <c r="O575" s="74" t="b">
        <v>0</v>
      </c>
      <c r="P575" s="74" t="b">
        <v>0</v>
      </c>
      <c r="Q575" s="82" t="s">
        <v>341</v>
      </c>
      <c r="R575" s="83" t="s">
        <v>803</v>
      </c>
      <c r="S575" s="82" t="s">
        <v>1728</v>
      </c>
      <c r="T575" s="41"/>
      <c r="U575" s="41"/>
      <c r="V575" s="41"/>
      <c r="W575" s="41"/>
      <c r="X575" s="41"/>
      <c r="Y575" s="41"/>
      <c r="Z575" s="41"/>
      <c r="AA575" s="41"/>
      <c r="AB575" s="41"/>
      <c r="AC575" s="41"/>
    </row>
    <row r="576" ht="15.75" customHeight="1">
      <c r="A576" s="82" t="s">
        <v>123</v>
      </c>
      <c r="B576" s="82" t="s">
        <v>2585</v>
      </c>
      <c r="C576" s="82" t="s">
        <v>140</v>
      </c>
      <c r="D576" s="82" t="s">
        <v>1718</v>
      </c>
      <c r="E576" s="82" t="s">
        <v>1719</v>
      </c>
      <c r="F576" s="82" t="s">
        <v>1754</v>
      </c>
      <c r="G576" s="82" t="s">
        <v>1721</v>
      </c>
      <c r="H576" s="82" t="s">
        <v>1722</v>
      </c>
      <c r="I576" s="41"/>
      <c r="J576" s="82" t="s">
        <v>1723</v>
      </c>
      <c r="K576" s="82" t="s">
        <v>1724</v>
      </c>
      <c r="L576" s="82" t="s">
        <v>2401</v>
      </c>
      <c r="M576" s="83" t="s">
        <v>2586</v>
      </c>
      <c r="N576" s="74" t="b">
        <v>0</v>
      </c>
      <c r="O576" s="74" t="b">
        <v>0</v>
      </c>
      <c r="P576" s="74" t="b">
        <v>0</v>
      </c>
      <c r="Q576" s="82" t="s">
        <v>341</v>
      </c>
      <c r="R576" s="83" t="s">
        <v>803</v>
      </c>
      <c r="S576" s="82" t="s">
        <v>1728</v>
      </c>
      <c r="T576" s="41"/>
      <c r="U576" s="41"/>
      <c r="V576" s="41"/>
      <c r="W576" s="41"/>
      <c r="X576" s="41"/>
      <c r="Y576" s="41"/>
      <c r="Z576" s="41"/>
      <c r="AA576" s="41"/>
      <c r="AB576" s="41"/>
      <c r="AC576" s="41"/>
    </row>
    <row r="577" ht="15.75" customHeight="1">
      <c r="A577" s="82" t="s">
        <v>123</v>
      </c>
      <c r="B577" s="82" t="s">
        <v>2587</v>
      </c>
      <c r="C577" s="82" t="s">
        <v>140</v>
      </c>
      <c r="D577" s="82" t="s">
        <v>1718</v>
      </c>
      <c r="E577" s="82" t="s">
        <v>1719</v>
      </c>
      <c r="F577" s="82" t="s">
        <v>1730</v>
      </c>
      <c r="G577" s="82" t="s">
        <v>1721</v>
      </c>
      <c r="H577" s="82" t="s">
        <v>1722</v>
      </c>
      <c r="I577" s="41"/>
      <c r="J577" s="82" t="s">
        <v>1723</v>
      </c>
      <c r="K577" s="82" t="s">
        <v>1724</v>
      </c>
      <c r="L577" s="82" t="s">
        <v>2503</v>
      </c>
      <c r="M577" s="83" t="s">
        <v>2588</v>
      </c>
      <c r="N577" s="74" t="b">
        <v>0</v>
      </c>
      <c r="O577" s="74" t="b">
        <v>0</v>
      </c>
      <c r="P577" s="74" t="b">
        <v>0</v>
      </c>
      <c r="Q577" s="82" t="s">
        <v>341</v>
      </c>
      <c r="R577" s="83" t="s">
        <v>803</v>
      </c>
      <c r="S577" s="82" t="s">
        <v>1728</v>
      </c>
      <c r="T577" s="41"/>
      <c r="U577" s="41"/>
      <c r="V577" s="41"/>
      <c r="W577" s="41"/>
      <c r="X577" s="41"/>
      <c r="Y577" s="41"/>
      <c r="Z577" s="41"/>
      <c r="AA577" s="41"/>
      <c r="AB577" s="41"/>
      <c r="AC577" s="41"/>
    </row>
    <row r="578" ht="15.75" customHeight="1">
      <c r="A578" s="82" t="s">
        <v>123</v>
      </c>
      <c r="B578" s="82" t="s">
        <v>2589</v>
      </c>
      <c r="C578" s="82" t="s">
        <v>140</v>
      </c>
      <c r="D578" s="82" t="s">
        <v>1718</v>
      </c>
      <c r="E578" s="82" t="s">
        <v>1719</v>
      </c>
      <c r="F578" s="82" t="s">
        <v>1720</v>
      </c>
      <c r="G578" s="82" t="s">
        <v>1721</v>
      </c>
      <c r="H578" s="82" t="s">
        <v>1722</v>
      </c>
      <c r="I578" s="41"/>
      <c r="J578" s="82" t="s">
        <v>1723</v>
      </c>
      <c r="K578" s="82" t="s">
        <v>1724</v>
      </c>
      <c r="L578" s="82" t="s">
        <v>2590</v>
      </c>
      <c r="M578" s="83" t="s">
        <v>2591</v>
      </c>
      <c r="N578" s="74" t="b">
        <v>0</v>
      </c>
      <c r="O578" s="74" t="b">
        <v>0</v>
      </c>
      <c r="P578" s="74" t="b">
        <v>0</v>
      </c>
      <c r="Q578" s="82" t="s">
        <v>341</v>
      </c>
      <c r="R578" s="83" t="s">
        <v>803</v>
      </c>
      <c r="S578" s="82" t="s">
        <v>1728</v>
      </c>
      <c r="T578" s="41"/>
      <c r="U578" s="41"/>
      <c r="V578" s="41"/>
      <c r="W578" s="41"/>
      <c r="X578" s="41"/>
      <c r="Y578" s="41"/>
      <c r="Z578" s="41"/>
      <c r="AA578" s="41"/>
      <c r="AB578" s="41"/>
      <c r="AC578" s="41"/>
    </row>
    <row r="579" ht="15.75" customHeight="1">
      <c r="A579" s="82" t="s">
        <v>123</v>
      </c>
      <c r="B579" s="82" t="s">
        <v>2592</v>
      </c>
      <c r="C579" s="82" t="s">
        <v>140</v>
      </c>
      <c r="D579" s="82" t="s">
        <v>1718</v>
      </c>
      <c r="E579" s="82" t="s">
        <v>1719</v>
      </c>
      <c r="F579" s="82" t="s">
        <v>1754</v>
      </c>
      <c r="G579" s="82" t="s">
        <v>1721</v>
      </c>
      <c r="H579" s="82" t="s">
        <v>1722</v>
      </c>
      <c r="I579" s="41"/>
      <c r="J579" s="82" t="s">
        <v>1723</v>
      </c>
      <c r="K579" s="82" t="s">
        <v>1724</v>
      </c>
      <c r="L579" s="82" t="s">
        <v>2593</v>
      </c>
      <c r="M579" s="83" t="s">
        <v>2594</v>
      </c>
      <c r="N579" s="74" t="b">
        <v>0</v>
      </c>
      <c r="O579" s="74" t="b">
        <v>0</v>
      </c>
      <c r="P579" s="74" t="b">
        <v>0</v>
      </c>
      <c r="Q579" s="82" t="s">
        <v>341</v>
      </c>
      <c r="R579" s="83" t="s">
        <v>803</v>
      </c>
      <c r="S579" s="82" t="s">
        <v>1728</v>
      </c>
      <c r="T579" s="41"/>
      <c r="U579" s="41"/>
      <c r="V579" s="41"/>
      <c r="W579" s="41"/>
      <c r="X579" s="41"/>
      <c r="Y579" s="41"/>
      <c r="Z579" s="41"/>
      <c r="AA579" s="41"/>
      <c r="AB579" s="41"/>
      <c r="AC579" s="41"/>
    </row>
    <row r="580" ht="15.75" customHeight="1">
      <c r="A580" s="82" t="s">
        <v>123</v>
      </c>
      <c r="B580" s="82" t="s">
        <v>2595</v>
      </c>
      <c r="C580" s="82" t="s">
        <v>140</v>
      </c>
      <c r="D580" s="82" t="s">
        <v>1718</v>
      </c>
      <c r="E580" s="82" t="s">
        <v>1719</v>
      </c>
      <c r="F580" s="82" t="s">
        <v>1730</v>
      </c>
      <c r="G580" s="82" t="s">
        <v>1721</v>
      </c>
      <c r="H580" s="82" t="s">
        <v>1722</v>
      </c>
      <c r="I580" s="41"/>
      <c r="J580" s="82" t="s">
        <v>1723</v>
      </c>
      <c r="K580" s="82" t="s">
        <v>1724</v>
      </c>
      <c r="L580" s="82" t="s">
        <v>2199</v>
      </c>
      <c r="M580" s="83" t="s">
        <v>2596</v>
      </c>
      <c r="N580" s="74" t="b">
        <v>0</v>
      </c>
      <c r="O580" s="74" t="b">
        <v>0</v>
      </c>
      <c r="P580" s="74" t="b">
        <v>0</v>
      </c>
      <c r="Q580" s="82" t="s">
        <v>341</v>
      </c>
      <c r="R580" s="83" t="s">
        <v>803</v>
      </c>
      <c r="S580" s="82" t="s">
        <v>1728</v>
      </c>
      <c r="T580" s="41"/>
      <c r="U580" s="41"/>
      <c r="V580" s="41"/>
      <c r="W580" s="41"/>
      <c r="X580" s="41"/>
      <c r="Y580" s="41"/>
      <c r="Z580" s="41"/>
      <c r="AA580" s="41"/>
      <c r="AB580" s="41"/>
      <c r="AC580" s="41"/>
    </row>
    <row r="581" ht="15.75" customHeight="1">
      <c r="A581" s="82" t="s">
        <v>123</v>
      </c>
      <c r="B581" s="82" t="s">
        <v>2597</v>
      </c>
      <c r="C581" s="82" t="s">
        <v>140</v>
      </c>
      <c r="D581" s="82" t="s">
        <v>1718</v>
      </c>
      <c r="E581" s="82" t="s">
        <v>1719</v>
      </c>
      <c r="F581" s="82" t="s">
        <v>1754</v>
      </c>
      <c r="G581" s="82" t="s">
        <v>1721</v>
      </c>
      <c r="H581" s="82" t="s">
        <v>1722</v>
      </c>
      <c r="I581" s="41"/>
      <c r="J581" s="82" t="s">
        <v>1723</v>
      </c>
      <c r="K581" s="82" t="s">
        <v>1724</v>
      </c>
      <c r="L581" s="82" t="s">
        <v>2598</v>
      </c>
      <c r="M581" s="83" t="s">
        <v>2599</v>
      </c>
      <c r="N581" s="74" t="b">
        <v>0</v>
      </c>
      <c r="O581" s="74" t="b">
        <v>0</v>
      </c>
      <c r="P581" s="74" t="b">
        <v>0</v>
      </c>
      <c r="Q581" s="82" t="s">
        <v>341</v>
      </c>
      <c r="R581" s="83" t="s">
        <v>803</v>
      </c>
      <c r="S581" s="82" t="s">
        <v>1728</v>
      </c>
      <c r="T581" s="41"/>
      <c r="U581" s="41"/>
      <c r="V581" s="41"/>
      <c r="W581" s="41"/>
      <c r="X581" s="41"/>
      <c r="Y581" s="41"/>
      <c r="Z581" s="41"/>
      <c r="AA581" s="41"/>
      <c r="AB581" s="41"/>
      <c r="AC581" s="41"/>
    </row>
    <row r="582" ht="15.75" customHeight="1">
      <c r="A582" s="82" t="s">
        <v>123</v>
      </c>
      <c r="B582" s="82" t="s">
        <v>2600</v>
      </c>
      <c r="C582" s="82" t="s">
        <v>140</v>
      </c>
      <c r="D582" s="82" t="s">
        <v>1718</v>
      </c>
      <c r="E582" s="82" t="s">
        <v>1719</v>
      </c>
      <c r="F582" s="82" t="s">
        <v>1720</v>
      </c>
      <c r="G582" s="82" t="s">
        <v>1721</v>
      </c>
      <c r="H582" s="82" t="s">
        <v>1722</v>
      </c>
      <c r="I582" s="41"/>
      <c r="J582" s="82" t="s">
        <v>1723</v>
      </c>
      <c r="K582" s="82" t="s">
        <v>1724</v>
      </c>
      <c r="L582" s="82" t="s">
        <v>2601</v>
      </c>
      <c r="M582" s="83" t="s">
        <v>2602</v>
      </c>
      <c r="N582" s="74" t="b">
        <v>0</v>
      </c>
      <c r="O582" s="74" t="b">
        <v>0</v>
      </c>
      <c r="P582" s="74" t="b">
        <v>0</v>
      </c>
      <c r="Q582" s="82" t="s">
        <v>341</v>
      </c>
      <c r="R582" s="83" t="s">
        <v>803</v>
      </c>
      <c r="S582" s="82" t="s">
        <v>1728</v>
      </c>
      <c r="T582" s="41"/>
      <c r="U582" s="41"/>
      <c r="V582" s="41"/>
      <c r="W582" s="41"/>
      <c r="X582" s="41"/>
      <c r="Y582" s="41"/>
      <c r="Z582" s="41"/>
      <c r="AA582" s="41"/>
      <c r="AB582" s="41"/>
      <c r="AC582" s="41"/>
    </row>
    <row r="583" ht="15.75" customHeight="1">
      <c r="A583" s="82" t="s">
        <v>123</v>
      </c>
      <c r="B583" s="82" t="s">
        <v>2603</v>
      </c>
      <c r="C583" s="82" t="s">
        <v>140</v>
      </c>
      <c r="D583" s="82" t="s">
        <v>1718</v>
      </c>
      <c r="E583" s="82" t="s">
        <v>1719</v>
      </c>
      <c r="F583" s="82" t="s">
        <v>1720</v>
      </c>
      <c r="G583" s="82" t="s">
        <v>1721</v>
      </c>
      <c r="H583" s="82" t="s">
        <v>1722</v>
      </c>
      <c r="I583" s="41"/>
      <c r="J583" s="82" t="s">
        <v>1723</v>
      </c>
      <c r="K583" s="82" t="s">
        <v>1724</v>
      </c>
      <c r="L583" s="82" t="s">
        <v>2451</v>
      </c>
      <c r="M583" s="83" t="s">
        <v>2604</v>
      </c>
      <c r="N583" s="74" t="b">
        <v>0</v>
      </c>
      <c r="O583" s="74" t="b">
        <v>0</v>
      </c>
      <c r="P583" s="74" t="b">
        <v>0</v>
      </c>
      <c r="Q583" s="82" t="s">
        <v>341</v>
      </c>
      <c r="R583" s="83" t="s">
        <v>803</v>
      </c>
      <c r="S583" s="82" t="s">
        <v>1728</v>
      </c>
      <c r="T583" s="41"/>
      <c r="U583" s="41"/>
      <c r="V583" s="41"/>
      <c r="W583" s="41"/>
      <c r="X583" s="41"/>
      <c r="Y583" s="41"/>
      <c r="Z583" s="41"/>
      <c r="AA583" s="41"/>
      <c r="AB583" s="41"/>
      <c r="AC583" s="41"/>
    </row>
    <row r="584" ht="15.75" customHeight="1">
      <c r="A584" s="82" t="s">
        <v>123</v>
      </c>
      <c r="B584" s="82" t="s">
        <v>2605</v>
      </c>
      <c r="C584" s="82" t="s">
        <v>140</v>
      </c>
      <c r="D584" s="82" t="s">
        <v>1718</v>
      </c>
      <c r="E584" s="82" t="s">
        <v>1719</v>
      </c>
      <c r="F584" s="82" t="s">
        <v>1720</v>
      </c>
      <c r="G584" s="82" t="s">
        <v>1721</v>
      </c>
      <c r="H584" s="82" t="s">
        <v>1722</v>
      </c>
      <c r="I584" s="41"/>
      <c r="J584" s="82" t="s">
        <v>1723</v>
      </c>
      <c r="K584" s="82" t="s">
        <v>1724</v>
      </c>
      <c r="L584" s="82" t="s">
        <v>2606</v>
      </c>
      <c r="M584" s="83" t="s">
        <v>2607</v>
      </c>
      <c r="N584" s="74" t="b">
        <v>0</v>
      </c>
      <c r="O584" s="74" t="b">
        <v>0</v>
      </c>
      <c r="P584" s="74" t="b">
        <v>0</v>
      </c>
      <c r="Q584" s="82" t="s">
        <v>341</v>
      </c>
      <c r="R584" s="83" t="s">
        <v>803</v>
      </c>
      <c r="S584" s="82" t="s">
        <v>1728</v>
      </c>
      <c r="T584" s="41"/>
      <c r="U584" s="41"/>
      <c r="V584" s="41"/>
      <c r="W584" s="41"/>
      <c r="X584" s="41"/>
      <c r="Y584" s="41"/>
      <c r="Z584" s="41"/>
      <c r="AA584" s="41"/>
      <c r="AB584" s="41"/>
      <c r="AC584" s="41"/>
    </row>
    <row r="585" ht="15.75" customHeight="1">
      <c r="A585" s="82" t="s">
        <v>123</v>
      </c>
      <c r="B585" s="82" t="s">
        <v>2608</v>
      </c>
      <c r="C585" s="82" t="s">
        <v>140</v>
      </c>
      <c r="D585" s="82" t="s">
        <v>1718</v>
      </c>
      <c r="E585" s="82" t="s">
        <v>1719</v>
      </c>
      <c r="F585" s="82" t="s">
        <v>1720</v>
      </c>
      <c r="G585" s="82" t="s">
        <v>1721</v>
      </c>
      <c r="H585" s="82" t="s">
        <v>1722</v>
      </c>
      <c r="I585" s="41"/>
      <c r="J585" s="82" t="s">
        <v>1723</v>
      </c>
      <c r="K585" s="82" t="s">
        <v>1724</v>
      </c>
      <c r="L585" s="82" t="s">
        <v>2451</v>
      </c>
      <c r="M585" s="83" t="s">
        <v>2609</v>
      </c>
      <c r="N585" s="74" t="b">
        <v>0</v>
      </c>
      <c r="O585" s="74" t="b">
        <v>0</v>
      </c>
      <c r="P585" s="74" t="b">
        <v>0</v>
      </c>
      <c r="Q585" s="82" t="s">
        <v>341</v>
      </c>
      <c r="R585" s="83" t="s">
        <v>803</v>
      </c>
      <c r="S585" s="82" t="s">
        <v>1728</v>
      </c>
      <c r="T585" s="41"/>
      <c r="U585" s="41"/>
      <c r="V585" s="41"/>
      <c r="W585" s="41"/>
      <c r="X585" s="41"/>
      <c r="Y585" s="41"/>
      <c r="Z585" s="41"/>
      <c r="AA585" s="41"/>
      <c r="AB585" s="41"/>
      <c r="AC585" s="41"/>
    </row>
    <row r="586" ht="15.75" customHeight="1">
      <c r="A586" s="82" t="s">
        <v>123</v>
      </c>
      <c r="B586" s="82" t="s">
        <v>2610</v>
      </c>
      <c r="C586" s="82" t="s">
        <v>140</v>
      </c>
      <c r="D586" s="82" t="s">
        <v>1718</v>
      </c>
      <c r="E586" s="82" t="s">
        <v>1719</v>
      </c>
      <c r="F586" s="82" t="s">
        <v>1754</v>
      </c>
      <c r="G586" s="82" t="s">
        <v>1721</v>
      </c>
      <c r="H586" s="82" t="s">
        <v>1722</v>
      </c>
      <c r="I586" s="41"/>
      <c r="J586" s="82" t="s">
        <v>1723</v>
      </c>
      <c r="K586" s="82" t="s">
        <v>1724</v>
      </c>
      <c r="L586" s="82" t="s">
        <v>2611</v>
      </c>
      <c r="M586" s="83" t="s">
        <v>2612</v>
      </c>
      <c r="N586" s="74" t="b">
        <v>0</v>
      </c>
      <c r="O586" s="74" t="b">
        <v>0</v>
      </c>
      <c r="P586" s="74" t="b">
        <v>0</v>
      </c>
      <c r="Q586" s="82" t="s">
        <v>341</v>
      </c>
      <c r="R586" s="83" t="s">
        <v>803</v>
      </c>
      <c r="S586" s="82" t="s">
        <v>1728</v>
      </c>
      <c r="T586" s="41"/>
      <c r="U586" s="41"/>
      <c r="V586" s="41"/>
      <c r="W586" s="41"/>
      <c r="X586" s="41"/>
      <c r="Y586" s="41"/>
      <c r="Z586" s="41"/>
      <c r="AA586" s="41"/>
      <c r="AB586" s="41"/>
      <c r="AC586" s="41"/>
    </row>
    <row r="587" ht="15.75" customHeight="1">
      <c r="A587" s="82" t="s">
        <v>123</v>
      </c>
      <c r="B587" s="82" t="s">
        <v>2613</v>
      </c>
      <c r="C587" s="82" t="s">
        <v>140</v>
      </c>
      <c r="D587" s="82" t="s">
        <v>1718</v>
      </c>
      <c r="E587" s="82" t="s">
        <v>1719</v>
      </c>
      <c r="F587" s="82" t="s">
        <v>1720</v>
      </c>
      <c r="G587" s="82" t="s">
        <v>1721</v>
      </c>
      <c r="H587" s="82" t="s">
        <v>1722</v>
      </c>
      <c r="I587" s="41"/>
      <c r="J587" s="82" t="s">
        <v>1723</v>
      </c>
      <c r="K587" s="82" t="s">
        <v>1724</v>
      </c>
      <c r="L587" s="82" t="s">
        <v>2614</v>
      </c>
      <c r="M587" s="83" t="s">
        <v>2615</v>
      </c>
      <c r="N587" s="74" t="b">
        <v>0</v>
      </c>
      <c r="O587" s="74" t="b">
        <v>0</v>
      </c>
      <c r="P587" s="74" t="b">
        <v>0</v>
      </c>
      <c r="Q587" s="82" t="s">
        <v>341</v>
      </c>
      <c r="R587" s="83" t="s">
        <v>803</v>
      </c>
      <c r="S587" s="82" t="s">
        <v>1728</v>
      </c>
      <c r="T587" s="41"/>
      <c r="U587" s="41"/>
      <c r="V587" s="41"/>
      <c r="W587" s="41"/>
      <c r="X587" s="41"/>
      <c r="Y587" s="41"/>
      <c r="Z587" s="41"/>
      <c r="AA587" s="41"/>
      <c r="AB587" s="41"/>
      <c r="AC587" s="41"/>
    </row>
    <row r="588" ht="15.75" customHeight="1">
      <c r="A588" s="82" t="s">
        <v>123</v>
      </c>
      <c r="B588" s="82" t="s">
        <v>2616</v>
      </c>
      <c r="C588" s="82" t="s">
        <v>140</v>
      </c>
      <c r="D588" s="82" t="s">
        <v>1718</v>
      </c>
      <c r="E588" s="82" t="s">
        <v>1719</v>
      </c>
      <c r="F588" s="82" t="s">
        <v>1754</v>
      </c>
      <c r="G588" s="82" t="s">
        <v>1721</v>
      </c>
      <c r="H588" s="82" t="s">
        <v>1722</v>
      </c>
      <c r="I588" s="41"/>
      <c r="J588" s="82" t="s">
        <v>1723</v>
      </c>
      <c r="K588" s="82" t="s">
        <v>1724</v>
      </c>
      <c r="L588" s="82" t="s">
        <v>2617</v>
      </c>
      <c r="M588" s="83" t="s">
        <v>2618</v>
      </c>
      <c r="N588" s="74" t="b">
        <v>0</v>
      </c>
      <c r="O588" s="74" t="b">
        <v>0</v>
      </c>
      <c r="P588" s="74" t="b">
        <v>0</v>
      </c>
      <c r="Q588" s="82" t="s">
        <v>341</v>
      </c>
      <c r="R588" s="83" t="s">
        <v>803</v>
      </c>
      <c r="S588" s="82" t="s">
        <v>1728</v>
      </c>
      <c r="T588" s="41"/>
      <c r="U588" s="41"/>
      <c r="V588" s="41"/>
      <c r="W588" s="41"/>
      <c r="X588" s="41"/>
      <c r="Y588" s="41"/>
      <c r="Z588" s="41"/>
      <c r="AA588" s="41"/>
      <c r="AB588" s="41"/>
      <c r="AC588" s="41"/>
    </row>
    <row r="589" ht="15.75" customHeight="1">
      <c r="A589" s="82" t="s">
        <v>123</v>
      </c>
      <c r="B589" s="82" t="s">
        <v>2619</v>
      </c>
      <c r="C589" s="82" t="s">
        <v>140</v>
      </c>
      <c r="D589" s="82" t="s">
        <v>1718</v>
      </c>
      <c r="E589" s="82" t="s">
        <v>1719</v>
      </c>
      <c r="F589" s="82" t="s">
        <v>1754</v>
      </c>
      <c r="G589" s="82" t="s">
        <v>1721</v>
      </c>
      <c r="H589" s="82" t="s">
        <v>1722</v>
      </c>
      <c r="I589" s="41"/>
      <c r="J589" s="82" t="s">
        <v>1723</v>
      </c>
      <c r="K589" s="82" t="s">
        <v>1724</v>
      </c>
      <c r="L589" s="82" t="s">
        <v>2416</v>
      </c>
      <c r="M589" s="83" t="s">
        <v>2620</v>
      </c>
      <c r="N589" s="74" t="b">
        <v>0</v>
      </c>
      <c r="O589" s="74" t="b">
        <v>0</v>
      </c>
      <c r="P589" s="74" t="b">
        <v>0</v>
      </c>
      <c r="Q589" s="82" t="s">
        <v>341</v>
      </c>
      <c r="R589" s="83" t="s">
        <v>803</v>
      </c>
      <c r="S589" s="82" t="s">
        <v>1728</v>
      </c>
      <c r="T589" s="41"/>
      <c r="U589" s="41"/>
      <c r="V589" s="41"/>
      <c r="W589" s="41"/>
      <c r="X589" s="41"/>
      <c r="Y589" s="41"/>
      <c r="Z589" s="41"/>
      <c r="AA589" s="41"/>
      <c r="AB589" s="41"/>
      <c r="AC589" s="41"/>
    </row>
    <row r="590" ht="15.75" customHeight="1">
      <c r="A590" s="82" t="s">
        <v>123</v>
      </c>
      <c r="B590" s="82" t="s">
        <v>2621</v>
      </c>
      <c r="C590" s="82" t="s">
        <v>140</v>
      </c>
      <c r="D590" s="82" t="s">
        <v>1718</v>
      </c>
      <c r="E590" s="82" t="s">
        <v>1719</v>
      </c>
      <c r="F590" s="82" t="s">
        <v>1720</v>
      </c>
      <c r="G590" s="82" t="s">
        <v>1721</v>
      </c>
      <c r="H590" s="82" t="s">
        <v>1722</v>
      </c>
      <c r="I590" s="41"/>
      <c r="J590" s="82" t="s">
        <v>1723</v>
      </c>
      <c r="K590" s="82" t="s">
        <v>1724</v>
      </c>
      <c r="L590" s="82" t="s">
        <v>2413</v>
      </c>
      <c r="M590" s="83" t="s">
        <v>2622</v>
      </c>
      <c r="N590" s="74" t="b">
        <v>0</v>
      </c>
      <c r="O590" s="74" t="b">
        <v>0</v>
      </c>
      <c r="P590" s="74" t="b">
        <v>0</v>
      </c>
      <c r="Q590" s="82" t="s">
        <v>341</v>
      </c>
      <c r="R590" s="83" t="s">
        <v>803</v>
      </c>
      <c r="S590" s="82" t="s">
        <v>1728</v>
      </c>
      <c r="T590" s="41"/>
      <c r="U590" s="41"/>
      <c r="V590" s="41"/>
      <c r="W590" s="41"/>
      <c r="X590" s="41"/>
      <c r="Y590" s="41"/>
      <c r="Z590" s="41"/>
      <c r="AA590" s="41"/>
      <c r="AB590" s="41"/>
      <c r="AC590" s="41"/>
    </row>
    <row r="591" ht="15.75" customHeight="1">
      <c r="A591" s="82" t="s">
        <v>123</v>
      </c>
      <c r="B591" s="82" t="s">
        <v>2623</v>
      </c>
      <c r="C591" s="82" t="s">
        <v>140</v>
      </c>
      <c r="D591" s="82" t="s">
        <v>1718</v>
      </c>
      <c r="E591" s="82" t="s">
        <v>1719</v>
      </c>
      <c r="F591" s="82" t="s">
        <v>1720</v>
      </c>
      <c r="G591" s="82" t="s">
        <v>1721</v>
      </c>
      <c r="H591" s="82" t="s">
        <v>1722</v>
      </c>
      <c r="I591" s="41"/>
      <c r="J591" s="82" t="s">
        <v>1723</v>
      </c>
      <c r="K591" s="82" t="s">
        <v>1724</v>
      </c>
      <c r="L591" s="82" t="s">
        <v>2624</v>
      </c>
      <c r="M591" s="83" t="s">
        <v>2625</v>
      </c>
      <c r="N591" s="74" t="b">
        <v>0</v>
      </c>
      <c r="O591" s="74" t="b">
        <v>0</v>
      </c>
      <c r="P591" s="74" t="b">
        <v>0</v>
      </c>
      <c r="Q591" s="82" t="s">
        <v>341</v>
      </c>
      <c r="R591" s="83" t="s">
        <v>803</v>
      </c>
      <c r="S591" s="82" t="s">
        <v>1728</v>
      </c>
      <c r="T591" s="41"/>
      <c r="U591" s="41"/>
      <c r="V591" s="41"/>
      <c r="W591" s="41"/>
      <c r="X591" s="41"/>
      <c r="Y591" s="41"/>
      <c r="Z591" s="41"/>
      <c r="AA591" s="41"/>
      <c r="AB591" s="41"/>
      <c r="AC591" s="41"/>
    </row>
    <row r="592" ht="15.75" customHeight="1">
      <c r="A592" s="82" t="s">
        <v>123</v>
      </c>
      <c r="B592" s="82" t="s">
        <v>2626</v>
      </c>
      <c r="C592" s="82" t="s">
        <v>140</v>
      </c>
      <c r="D592" s="82" t="s">
        <v>1718</v>
      </c>
      <c r="E592" s="82" t="s">
        <v>1719</v>
      </c>
      <c r="F592" s="82" t="s">
        <v>1720</v>
      </c>
      <c r="G592" s="82" t="s">
        <v>1721</v>
      </c>
      <c r="H592" s="82" t="s">
        <v>1722</v>
      </c>
      <c r="I592" s="41"/>
      <c r="J592" s="82" t="s">
        <v>1723</v>
      </c>
      <c r="K592" s="82" t="s">
        <v>1724</v>
      </c>
      <c r="L592" s="82" t="s">
        <v>2627</v>
      </c>
      <c r="M592" s="83" t="s">
        <v>2628</v>
      </c>
      <c r="N592" s="74" t="b">
        <v>0</v>
      </c>
      <c r="O592" s="74" t="b">
        <v>0</v>
      </c>
      <c r="P592" s="74" t="b">
        <v>0</v>
      </c>
      <c r="Q592" s="82" t="s">
        <v>341</v>
      </c>
      <c r="R592" s="83" t="s">
        <v>803</v>
      </c>
      <c r="S592" s="82" t="s">
        <v>1728</v>
      </c>
      <c r="T592" s="41"/>
      <c r="U592" s="41"/>
      <c r="V592" s="41"/>
      <c r="W592" s="41"/>
      <c r="X592" s="41"/>
      <c r="Y592" s="41"/>
      <c r="Z592" s="41"/>
      <c r="AA592" s="41"/>
      <c r="AB592" s="41"/>
      <c r="AC592" s="41"/>
    </row>
    <row r="593" ht="15.75" customHeight="1">
      <c r="A593" s="82" t="s">
        <v>123</v>
      </c>
      <c r="B593" s="82" t="s">
        <v>2629</v>
      </c>
      <c r="C593" s="82" t="s">
        <v>140</v>
      </c>
      <c r="D593" s="82" t="s">
        <v>1718</v>
      </c>
      <c r="E593" s="82" t="s">
        <v>1719</v>
      </c>
      <c r="F593" s="82" t="s">
        <v>1730</v>
      </c>
      <c r="G593" s="82" t="s">
        <v>1721</v>
      </c>
      <c r="H593" s="82" t="s">
        <v>1722</v>
      </c>
      <c r="I593" s="41"/>
      <c r="J593" s="82" t="s">
        <v>1723</v>
      </c>
      <c r="K593" s="82" t="s">
        <v>1724</v>
      </c>
      <c r="L593" s="82" t="s">
        <v>2199</v>
      </c>
      <c r="M593" s="83" t="s">
        <v>2630</v>
      </c>
      <c r="N593" s="74" t="b">
        <v>0</v>
      </c>
      <c r="O593" s="74" t="b">
        <v>0</v>
      </c>
      <c r="P593" s="74" t="b">
        <v>0</v>
      </c>
      <c r="Q593" s="82" t="s">
        <v>341</v>
      </c>
      <c r="R593" s="83" t="s">
        <v>803</v>
      </c>
      <c r="S593" s="82" t="s">
        <v>1728</v>
      </c>
      <c r="T593" s="41"/>
      <c r="U593" s="41"/>
      <c r="V593" s="41"/>
      <c r="W593" s="41"/>
      <c r="X593" s="41"/>
      <c r="Y593" s="41"/>
      <c r="Z593" s="41"/>
      <c r="AA593" s="41"/>
      <c r="AB593" s="41"/>
      <c r="AC593" s="41"/>
    </row>
    <row r="594" ht="15.75" customHeight="1">
      <c r="A594" s="82" t="s">
        <v>123</v>
      </c>
      <c r="B594" s="82" t="s">
        <v>2631</v>
      </c>
      <c r="C594" s="82" t="s">
        <v>140</v>
      </c>
      <c r="D594" s="82" t="s">
        <v>1718</v>
      </c>
      <c r="E594" s="82" t="s">
        <v>1719</v>
      </c>
      <c r="F594" s="82" t="s">
        <v>1730</v>
      </c>
      <c r="G594" s="82" t="s">
        <v>1721</v>
      </c>
      <c r="H594" s="82" t="s">
        <v>1722</v>
      </c>
      <c r="I594" s="41"/>
      <c r="J594" s="82" t="s">
        <v>1723</v>
      </c>
      <c r="K594" s="82" t="s">
        <v>1724</v>
      </c>
      <c r="L594" s="82" t="s">
        <v>2632</v>
      </c>
      <c r="M594" s="83" t="s">
        <v>2633</v>
      </c>
      <c r="N594" s="74" t="b">
        <v>0</v>
      </c>
      <c r="O594" s="74" t="b">
        <v>0</v>
      </c>
      <c r="P594" s="74" t="b">
        <v>0</v>
      </c>
      <c r="Q594" s="82" t="s">
        <v>341</v>
      </c>
      <c r="R594" s="83" t="s">
        <v>803</v>
      </c>
      <c r="S594" s="82" t="s">
        <v>1728</v>
      </c>
      <c r="T594" s="41"/>
      <c r="U594" s="41"/>
      <c r="V594" s="41"/>
      <c r="W594" s="41"/>
      <c r="X594" s="41"/>
      <c r="Y594" s="41"/>
      <c r="Z594" s="41"/>
      <c r="AA594" s="41"/>
      <c r="AB594" s="41"/>
      <c r="AC594" s="41"/>
    </row>
    <row r="595" ht="15.75" customHeight="1">
      <c r="A595" s="82" t="s">
        <v>123</v>
      </c>
      <c r="B595" s="82" t="s">
        <v>2634</v>
      </c>
      <c r="C595" s="82" t="s">
        <v>140</v>
      </c>
      <c r="D595" s="82" t="s">
        <v>1718</v>
      </c>
      <c r="E595" s="82" t="s">
        <v>1719</v>
      </c>
      <c r="F595" s="82" t="s">
        <v>1730</v>
      </c>
      <c r="G595" s="82" t="s">
        <v>1721</v>
      </c>
      <c r="H595" s="82" t="s">
        <v>1722</v>
      </c>
      <c r="I595" s="41"/>
      <c r="J595" s="82" t="s">
        <v>1723</v>
      </c>
      <c r="K595" s="82" t="s">
        <v>1724</v>
      </c>
      <c r="L595" s="82" t="s">
        <v>2635</v>
      </c>
      <c r="M595" s="83" t="s">
        <v>2636</v>
      </c>
      <c r="N595" s="74" t="b">
        <v>0</v>
      </c>
      <c r="O595" s="74" t="b">
        <v>0</v>
      </c>
      <c r="P595" s="74" t="b">
        <v>0</v>
      </c>
      <c r="Q595" s="82" t="s">
        <v>341</v>
      </c>
      <c r="R595" s="83" t="s">
        <v>803</v>
      </c>
      <c r="S595" s="82" t="s">
        <v>1728</v>
      </c>
      <c r="T595" s="41"/>
      <c r="U595" s="41"/>
      <c r="V595" s="41"/>
      <c r="W595" s="41"/>
      <c r="X595" s="41"/>
      <c r="Y595" s="41"/>
      <c r="Z595" s="41"/>
      <c r="AA595" s="41"/>
      <c r="AB595" s="41"/>
      <c r="AC595" s="41"/>
    </row>
    <row r="596" ht="15.75" customHeight="1">
      <c r="A596" s="82" t="s">
        <v>123</v>
      </c>
      <c r="B596" s="82" t="s">
        <v>2637</v>
      </c>
      <c r="C596" s="82" t="s">
        <v>140</v>
      </c>
      <c r="D596" s="82" t="s">
        <v>1718</v>
      </c>
      <c r="E596" s="82" t="s">
        <v>1719</v>
      </c>
      <c r="F596" s="82" t="s">
        <v>1720</v>
      </c>
      <c r="G596" s="82" t="s">
        <v>1721</v>
      </c>
      <c r="H596" s="82" t="s">
        <v>1722</v>
      </c>
      <c r="I596" s="41"/>
      <c r="J596" s="82" t="s">
        <v>1723</v>
      </c>
      <c r="K596" s="82" t="s">
        <v>1724</v>
      </c>
      <c r="L596" s="82" t="s">
        <v>2413</v>
      </c>
      <c r="M596" s="83" t="s">
        <v>2638</v>
      </c>
      <c r="N596" s="74" t="b">
        <v>0</v>
      </c>
      <c r="O596" s="74" t="b">
        <v>0</v>
      </c>
      <c r="P596" s="74" t="b">
        <v>0</v>
      </c>
      <c r="Q596" s="82" t="s">
        <v>341</v>
      </c>
      <c r="R596" s="83" t="s">
        <v>803</v>
      </c>
      <c r="S596" s="82" t="s">
        <v>1728</v>
      </c>
      <c r="T596" s="41"/>
      <c r="U596" s="41"/>
      <c r="V596" s="41"/>
      <c r="W596" s="41"/>
      <c r="X596" s="41"/>
      <c r="Y596" s="41"/>
      <c r="Z596" s="41"/>
      <c r="AA596" s="41"/>
      <c r="AB596" s="41"/>
      <c r="AC596" s="41"/>
    </row>
    <row r="597" ht="15.75" customHeight="1">
      <c r="A597" s="82" t="s">
        <v>123</v>
      </c>
      <c r="B597" s="82" t="s">
        <v>2639</v>
      </c>
      <c r="C597" s="82" t="s">
        <v>140</v>
      </c>
      <c r="D597" s="82" t="s">
        <v>1718</v>
      </c>
      <c r="E597" s="82" t="s">
        <v>1719</v>
      </c>
      <c r="F597" s="82" t="s">
        <v>1754</v>
      </c>
      <c r="G597" s="82" t="s">
        <v>1721</v>
      </c>
      <c r="H597" s="82" t="s">
        <v>1722</v>
      </c>
      <c r="I597" s="41"/>
      <c r="J597" s="82" t="s">
        <v>1723</v>
      </c>
      <c r="K597" s="82" t="s">
        <v>1724</v>
      </c>
      <c r="L597" s="82" t="s">
        <v>1847</v>
      </c>
      <c r="M597" s="83" t="s">
        <v>2640</v>
      </c>
      <c r="N597" s="74" t="b">
        <v>0</v>
      </c>
      <c r="O597" s="74" t="b">
        <v>0</v>
      </c>
      <c r="P597" s="74" t="b">
        <v>0</v>
      </c>
      <c r="Q597" s="82" t="s">
        <v>341</v>
      </c>
      <c r="R597" s="83" t="s">
        <v>803</v>
      </c>
      <c r="S597" s="82" t="s">
        <v>1728</v>
      </c>
      <c r="T597" s="41"/>
      <c r="U597" s="41"/>
      <c r="V597" s="41"/>
      <c r="W597" s="41"/>
      <c r="X597" s="41"/>
      <c r="Y597" s="41"/>
      <c r="Z597" s="41"/>
      <c r="AA597" s="41"/>
      <c r="AB597" s="41"/>
      <c r="AC597" s="41"/>
    </row>
    <row r="598" ht="15.75" customHeight="1">
      <c r="A598" s="82" t="s">
        <v>123</v>
      </c>
      <c r="B598" s="82" t="s">
        <v>2641</v>
      </c>
      <c r="C598" s="82" t="s">
        <v>140</v>
      </c>
      <c r="D598" s="82" t="s">
        <v>1718</v>
      </c>
      <c r="E598" s="82" t="s">
        <v>1719</v>
      </c>
      <c r="F598" s="82" t="s">
        <v>1754</v>
      </c>
      <c r="G598" s="82" t="s">
        <v>1721</v>
      </c>
      <c r="H598" s="82" t="s">
        <v>1722</v>
      </c>
      <c r="I598" s="41"/>
      <c r="J598" s="82" t="s">
        <v>1723</v>
      </c>
      <c r="K598" s="82" t="s">
        <v>1724</v>
      </c>
      <c r="L598" s="82" t="s">
        <v>2642</v>
      </c>
      <c r="M598" s="83" t="s">
        <v>2643</v>
      </c>
      <c r="N598" s="74" t="b">
        <v>0</v>
      </c>
      <c r="O598" s="74" t="b">
        <v>0</v>
      </c>
      <c r="P598" s="74" t="b">
        <v>0</v>
      </c>
      <c r="Q598" s="82" t="s">
        <v>341</v>
      </c>
      <c r="R598" s="83" t="s">
        <v>803</v>
      </c>
      <c r="S598" s="82" t="s">
        <v>1728</v>
      </c>
      <c r="T598" s="41"/>
      <c r="U598" s="41"/>
      <c r="V598" s="41"/>
      <c r="W598" s="41"/>
      <c r="X598" s="41"/>
      <c r="Y598" s="41"/>
      <c r="Z598" s="41"/>
      <c r="AA598" s="41"/>
      <c r="AB598" s="41"/>
      <c r="AC598" s="41"/>
    </row>
    <row r="599" ht="15.75" customHeight="1">
      <c r="A599" s="82" t="s">
        <v>123</v>
      </c>
      <c r="B599" s="82" t="s">
        <v>2644</v>
      </c>
      <c r="C599" s="82" t="s">
        <v>140</v>
      </c>
      <c r="D599" s="82" t="s">
        <v>1718</v>
      </c>
      <c r="E599" s="82" t="s">
        <v>1719</v>
      </c>
      <c r="F599" s="82" t="s">
        <v>1730</v>
      </c>
      <c r="G599" s="82" t="s">
        <v>1721</v>
      </c>
      <c r="H599" s="82" t="s">
        <v>1722</v>
      </c>
      <c r="I599" s="41"/>
      <c r="J599" s="82" t="s">
        <v>1723</v>
      </c>
      <c r="K599" s="82" t="s">
        <v>1724</v>
      </c>
      <c r="L599" s="82" t="s">
        <v>2199</v>
      </c>
      <c r="M599" s="83" t="s">
        <v>2645</v>
      </c>
      <c r="N599" s="74" t="b">
        <v>0</v>
      </c>
      <c r="O599" s="74" t="b">
        <v>0</v>
      </c>
      <c r="P599" s="74" t="b">
        <v>0</v>
      </c>
      <c r="Q599" s="82" t="s">
        <v>341</v>
      </c>
      <c r="R599" s="83" t="s">
        <v>803</v>
      </c>
      <c r="S599" s="82" t="s">
        <v>1728</v>
      </c>
      <c r="T599" s="41"/>
      <c r="U599" s="41"/>
      <c r="V599" s="41"/>
      <c r="W599" s="41"/>
      <c r="X599" s="41"/>
      <c r="Y599" s="41"/>
      <c r="Z599" s="41"/>
      <c r="AA599" s="41"/>
      <c r="AB599" s="41"/>
      <c r="AC599" s="41"/>
    </row>
    <row r="600" ht="15.75" customHeight="1">
      <c r="A600" s="82" t="s">
        <v>123</v>
      </c>
      <c r="B600" s="82" t="s">
        <v>2646</v>
      </c>
      <c r="C600" s="82" t="s">
        <v>140</v>
      </c>
      <c r="D600" s="82" t="s">
        <v>1718</v>
      </c>
      <c r="E600" s="82" t="s">
        <v>1719</v>
      </c>
      <c r="F600" s="82" t="s">
        <v>1720</v>
      </c>
      <c r="G600" s="82" t="s">
        <v>1721</v>
      </c>
      <c r="H600" s="82" t="s">
        <v>1722</v>
      </c>
      <c r="I600" s="41"/>
      <c r="J600" s="82" t="s">
        <v>1723</v>
      </c>
      <c r="K600" s="82" t="s">
        <v>1724</v>
      </c>
      <c r="L600" s="82" t="s">
        <v>2413</v>
      </c>
      <c r="M600" s="83" t="s">
        <v>2647</v>
      </c>
      <c r="N600" s="74" t="b">
        <v>0</v>
      </c>
      <c r="O600" s="74" t="b">
        <v>0</v>
      </c>
      <c r="P600" s="74" t="b">
        <v>0</v>
      </c>
      <c r="Q600" s="82" t="s">
        <v>341</v>
      </c>
      <c r="R600" s="83" t="s">
        <v>803</v>
      </c>
      <c r="S600" s="82" t="s">
        <v>1728</v>
      </c>
      <c r="T600" s="41"/>
      <c r="U600" s="41"/>
      <c r="V600" s="41"/>
      <c r="W600" s="41"/>
      <c r="X600" s="41"/>
      <c r="Y600" s="41"/>
      <c r="Z600" s="41"/>
      <c r="AA600" s="41"/>
      <c r="AB600" s="41"/>
      <c r="AC600" s="41"/>
    </row>
    <row r="601" ht="15.75" customHeight="1">
      <c r="A601" s="82" t="s">
        <v>123</v>
      </c>
      <c r="B601" s="82" t="s">
        <v>2648</v>
      </c>
      <c r="C601" s="82" t="s">
        <v>140</v>
      </c>
      <c r="D601" s="82" t="s">
        <v>1718</v>
      </c>
      <c r="E601" s="82" t="s">
        <v>1719</v>
      </c>
      <c r="F601" s="82" t="s">
        <v>1730</v>
      </c>
      <c r="G601" s="82" t="s">
        <v>1721</v>
      </c>
      <c r="H601" s="82" t="s">
        <v>1722</v>
      </c>
      <c r="I601" s="41"/>
      <c r="J601" s="82" t="s">
        <v>1723</v>
      </c>
      <c r="K601" s="82" t="s">
        <v>1724</v>
      </c>
      <c r="L601" s="82" t="s">
        <v>2422</v>
      </c>
      <c r="M601" s="83" t="s">
        <v>2649</v>
      </c>
      <c r="N601" s="74" t="b">
        <v>0</v>
      </c>
      <c r="O601" s="74" t="b">
        <v>0</v>
      </c>
      <c r="P601" s="74" t="b">
        <v>0</v>
      </c>
      <c r="Q601" s="82" t="s">
        <v>341</v>
      </c>
      <c r="R601" s="83" t="s">
        <v>803</v>
      </c>
      <c r="S601" s="82" t="s">
        <v>1728</v>
      </c>
      <c r="T601" s="41"/>
      <c r="U601" s="41"/>
      <c r="V601" s="41"/>
      <c r="W601" s="41"/>
      <c r="X601" s="41"/>
      <c r="Y601" s="41"/>
      <c r="Z601" s="41"/>
      <c r="AA601" s="41"/>
      <c r="AB601" s="41"/>
      <c r="AC601" s="41"/>
    </row>
    <row r="602" ht="15.75" customHeight="1">
      <c r="A602" s="82" t="s">
        <v>123</v>
      </c>
      <c r="B602" s="82" t="s">
        <v>2650</v>
      </c>
      <c r="C602" s="82" t="s">
        <v>140</v>
      </c>
      <c r="D602" s="82" t="s">
        <v>1718</v>
      </c>
      <c r="E602" s="82" t="s">
        <v>1719</v>
      </c>
      <c r="F602" s="82" t="s">
        <v>1720</v>
      </c>
      <c r="G602" s="82" t="s">
        <v>1721</v>
      </c>
      <c r="H602" s="82" t="s">
        <v>1722</v>
      </c>
      <c r="I602" s="41"/>
      <c r="J602" s="82" t="s">
        <v>1723</v>
      </c>
      <c r="K602" s="82" t="s">
        <v>1724</v>
      </c>
      <c r="L602" s="82" t="s">
        <v>2413</v>
      </c>
      <c r="M602" s="83" t="s">
        <v>2651</v>
      </c>
      <c r="N602" s="74" t="b">
        <v>0</v>
      </c>
      <c r="O602" s="74" t="b">
        <v>0</v>
      </c>
      <c r="P602" s="74" t="b">
        <v>0</v>
      </c>
      <c r="Q602" s="82" t="s">
        <v>341</v>
      </c>
      <c r="R602" s="83" t="s">
        <v>803</v>
      </c>
      <c r="S602" s="82" t="s">
        <v>1728</v>
      </c>
      <c r="T602" s="41"/>
      <c r="U602" s="41"/>
      <c r="V602" s="41"/>
      <c r="W602" s="41"/>
      <c r="X602" s="41"/>
      <c r="Y602" s="41"/>
      <c r="Z602" s="41"/>
      <c r="AA602" s="41"/>
      <c r="AB602" s="41"/>
      <c r="AC602" s="41"/>
    </row>
    <row r="603" ht="15.75" customHeight="1">
      <c r="A603" s="82" t="s">
        <v>123</v>
      </c>
      <c r="B603" s="82" t="s">
        <v>2652</v>
      </c>
      <c r="C603" s="82" t="s">
        <v>140</v>
      </c>
      <c r="D603" s="82" t="s">
        <v>1718</v>
      </c>
      <c r="E603" s="82" t="s">
        <v>1719</v>
      </c>
      <c r="F603" s="82" t="s">
        <v>1720</v>
      </c>
      <c r="G603" s="82" t="s">
        <v>1721</v>
      </c>
      <c r="H603" s="82" t="s">
        <v>1722</v>
      </c>
      <c r="I603" s="41"/>
      <c r="J603" s="82" t="s">
        <v>1723</v>
      </c>
      <c r="K603" s="82" t="s">
        <v>1724</v>
      </c>
      <c r="L603" s="82" t="s">
        <v>2419</v>
      </c>
      <c r="M603" s="83" t="s">
        <v>2653</v>
      </c>
      <c r="N603" s="74" t="b">
        <v>0</v>
      </c>
      <c r="O603" s="74" t="b">
        <v>0</v>
      </c>
      <c r="P603" s="74" t="b">
        <v>0</v>
      </c>
      <c r="Q603" s="82" t="s">
        <v>341</v>
      </c>
      <c r="R603" s="83" t="s">
        <v>803</v>
      </c>
      <c r="S603" s="82" t="s">
        <v>1728</v>
      </c>
      <c r="T603" s="41"/>
      <c r="U603" s="41"/>
      <c r="V603" s="41"/>
      <c r="W603" s="41"/>
      <c r="X603" s="41"/>
      <c r="Y603" s="41"/>
      <c r="Z603" s="41"/>
      <c r="AA603" s="41"/>
      <c r="AB603" s="41"/>
      <c r="AC603" s="41"/>
    </row>
    <row r="604" ht="15.75" customHeight="1">
      <c r="A604" s="82" t="s">
        <v>123</v>
      </c>
      <c r="B604" s="82" t="s">
        <v>2654</v>
      </c>
      <c r="C604" s="82" t="s">
        <v>140</v>
      </c>
      <c r="D604" s="82" t="s">
        <v>1718</v>
      </c>
      <c r="E604" s="82" t="s">
        <v>1719</v>
      </c>
      <c r="F604" s="82" t="s">
        <v>1720</v>
      </c>
      <c r="G604" s="82" t="s">
        <v>1721</v>
      </c>
      <c r="H604" s="82" t="s">
        <v>1722</v>
      </c>
      <c r="I604" s="41"/>
      <c r="J604" s="82" t="s">
        <v>1723</v>
      </c>
      <c r="K604" s="82" t="s">
        <v>1724</v>
      </c>
      <c r="L604" s="82" t="s">
        <v>2419</v>
      </c>
      <c r="M604" s="83" t="s">
        <v>2655</v>
      </c>
      <c r="N604" s="74" t="b">
        <v>0</v>
      </c>
      <c r="O604" s="74" t="b">
        <v>0</v>
      </c>
      <c r="P604" s="74" t="b">
        <v>0</v>
      </c>
      <c r="Q604" s="82" t="s">
        <v>341</v>
      </c>
      <c r="R604" s="83" t="s">
        <v>803</v>
      </c>
      <c r="S604" s="82" t="s">
        <v>1728</v>
      </c>
      <c r="T604" s="41"/>
      <c r="U604" s="41"/>
      <c r="V604" s="41"/>
      <c r="W604" s="41"/>
      <c r="X604" s="41"/>
      <c r="Y604" s="41"/>
      <c r="Z604" s="41"/>
      <c r="AA604" s="41"/>
      <c r="AB604" s="41"/>
      <c r="AC604" s="41"/>
    </row>
    <row r="605" ht="15.75" customHeight="1">
      <c r="A605" s="82" t="s">
        <v>123</v>
      </c>
      <c r="B605" s="82" t="s">
        <v>2656</v>
      </c>
      <c r="C605" s="82" t="s">
        <v>140</v>
      </c>
      <c r="D605" s="82" t="s">
        <v>1718</v>
      </c>
      <c r="E605" s="82" t="s">
        <v>1719</v>
      </c>
      <c r="F605" s="82" t="s">
        <v>1730</v>
      </c>
      <c r="G605" s="82" t="s">
        <v>1721</v>
      </c>
      <c r="H605" s="82" t="s">
        <v>1722</v>
      </c>
      <c r="I605" s="41"/>
      <c r="J605" s="82" t="s">
        <v>1723</v>
      </c>
      <c r="K605" s="82" t="s">
        <v>1724</v>
      </c>
      <c r="L605" s="82" t="s">
        <v>2422</v>
      </c>
      <c r="M605" s="83" t="s">
        <v>2657</v>
      </c>
      <c r="N605" s="74" t="b">
        <v>0</v>
      </c>
      <c r="O605" s="74" t="b">
        <v>0</v>
      </c>
      <c r="P605" s="74" t="b">
        <v>0</v>
      </c>
      <c r="Q605" s="82" t="s">
        <v>341</v>
      </c>
      <c r="R605" s="83" t="s">
        <v>803</v>
      </c>
      <c r="S605" s="82" t="s">
        <v>1728</v>
      </c>
      <c r="T605" s="41"/>
      <c r="U605" s="41"/>
      <c r="V605" s="41"/>
      <c r="W605" s="41"/>
      <c r="X605" s="41"/>
      <c r="Y605" s="41"/>
      <c r="Z605" s="41"/>
      <c r="AA605" s="41"/>
      <c r="AB605" s="41"/>
      <c r="AC605" s="41"/>
    </row>
    <row r="606" ht="15.75" customHeight="1">
      <c r="A606" s="82" t="s">
        <v>123</v>
      </c>
      <c r="B606" s="82" t="s">
        <v>2658</v>
      </c>
      <c r="C606" s="82" t="s">
        <v>140</v>
      </c>
      <c r="D606" s="82" t="s">
        <v>1718</v>
      </c>
      <c r="E606" s="82" t="s">
        <v>1719</v>
      </c>
      <c r="F606" s="82" t="s">
        <v>1754</v>
      </c>
      <c r="G606" s="82" t="s">
        <v>1721</v>
      </c>
      <c r="H606" s="82" t="s">
        <v>1722</v>
      </c>
      <c r="I606" s="41"/>
      <c r="J606" s="82" t="s">
        <v>1723</v>
      </c>
      <c r="K606" s="82" t="s">
        <v>1724</v>
      </c>
      <c r="L606" s="82" t="s">
        <v>2659</v>
      </c>
      <c r="M606" s="83" t="s">
        <v>2660</v>
      </c>
      <c r="N606" s="74" t="b">
        <v>0</v>
      </c>
      <c r="O606" s="74" t="b">
        <v>0</v>
      </c>
      <c r="P606" s="74" t="b">
        <v>0</v>
      </c>
      <c r="Q606" s="82" t="s">
        <v>341</v>
      </c>
      <c r="R606" s="83" t="s">
        <v>803</v>
      </c>
      <c r="S606" s="82" t="s">
        <v>1728</v>
      </c>
      <c r="T606" s="41"/>
      <c r="U606" s="41"/>
      <c r="V606" s="41"/>
      <c r="W606" s="41"/>
      <c r="X606" s="41"/>
      <c r="Y606" s="41"/>
      <c r="Z606" s="41"/>
      <c r="AA606" s="41"/>
      <c r="AB606" s="41"/>
      <c r="AC606" s="41"/>
    </row>
    <row r="607" ht="15.75" customHeight="1">
      <c r="A607" s="82" t="s">
        <v>123</v>
      </c>
      <c r="B607" s="82" t="s">
        <v>2661</v>
      </c>
      <c r="C607" s="82" t="s">
        <v>140</v>
      </c>
      <c r="D607" s="82" t="s">
        <v>1718</v>
      </c>
      <c r="E607" s="82" t="s">
        <v>1719</v>
      </c>
      <c r="F607" s="82" t="s">
        <v>1754</v>
      </c>
      <c r="G607" s="82" t="s">
        <v>1721</v>
      </c>
      <c r="H607" s="82" t="s">
        <v>1722</v>
      </c>
      <c r="I607" s="41"/>
      <c r="J607" s="82" t="s">
        <v>1723</v>
      </c>
      <c r="K607" s="82" t="s">
        <v>1724</v>
      </c>
      <c r="L607" s="82" t="s">
        <v>2662</v>
      </c>
      <c r="M607" s="83" t="s">
        <v>2663</v>
      </c>
      <c r="N607" s="74" t="b">
        <v>0</v>
      </c>
      <c r="O607" s="74" t="b">
        <v>0</v>
      </c>
      <c r="P607" s="74" t="b">
        <v>0</v>
      </c>
      <c r="Q607" s="82" t="s">
        <v>341</v>
      </c>
      <c r="R607" s="83" t="s">
        <v>803</v>
      </c>
      <c r="S607" s="82" t="s">
        <v>1728</v>
      </c>
      <c r="T607" s="41"/>
      <c r="U607" s="41"/>
      <c r="V607" s="41"/>
      <c r="W607" s="41"/>
      <c r="X607" s="41"/>
      <c r="Y607" s="41"/>
      <c r="Z607" s="41"/>
      <c r="AA607" s="41"/>
      <c r="AB607" s="41"/>
      <c r="AC607" s="41"/>
    </row>
    <row r="608" ht="15.75" customHeight="1">
      <c r="A608" s="82" t="s">
        <v>123</v>
      </c>
      <c r="B608" s="82" t="s">
        <v>2664</v>
      </c>
      <c r="C608" s="82" t="s">
        <v>140</v>
      </c>
      <c r="D608" s="82" t="s">
        <v>1718</v>
      </c>
      <c r="E608" s="82" t="s">
        <v>1719</v>
      </c>
      <c r="F608" s="82" t="s">
        <v>1754</v>
      </c>
      <c r="G608" s="82" t="s">
        <v>1721</v>
      </c>
      <c r="H608" s="82" t="s">
        <v>1722</v>
      </c>
      <c r="I608" s="41"/>
      <c r="J608" s="82" t="s">
        <v>1723</v>
      </c>
      <c r="K608" s="82" t="s">
        <v>1724</v>
      </c>
      <c r="L608" s="82" t="s">
        <v>2401</v>
      </c>
      <c r="M608" s="83" t="s">
        <v>2665</v>
      </c>
      <c r="N608" s="74" t="b">
        <v>0</v>
      </c>
      <c r="O608" s="74" t="b">
        <v>0</v>
      </c>
      <c r="P608" s="74" t="b">
        <v>0</v>
      </c>
      <c r="Q608" s="82" t="s">
        <v>341</v>
      </c>
      <c r="R608" s="83" t="s">
        <v>803</v>
      </c>
      <c r="S608" s="82" t="s">
        <v>1728</v>
      </c>
      <c r="T608" s="41"/>
      <c r="U608" s="41"/>
      <c r="V608" s="41"/>
      <c r="W608" s="41"/>
      <c r="X608" s="41"/>
      <c r="Y608" s="41"/>
      <c r="Z608" s="41"/>
      <c r="AA608" s="41"/>
      <c r="AB608" s="41"/>
      <c r="AC608" s="41"/>
    </row>
    <row r="609" ht="15.75" customHeight="1">
      <c r="A609" s="82" t="s">
        <v>123</v>
      </c>
      <c r="B609" s="82" t="s">
        <v>2666</v>
      </c>
      <c r="C609" s="82" t="s">
        <v>140</v>
      </c>
      <c r="D609" s="82" t="s">
        <v>1718</v>
      </c>
      <c r="E609" s="82" t="s">
        <v>1719</v>
      </c>
      <c r="F609" s="82" t="s">
        <v>1720</v>
      </c>
      <c r="G609" s="82" t="s">
        <v>1721</v>
      </c>
      <c r="H609" s="82" t="s">
        <v>1722</v>
      </c>
      <c r="I609" s="41"/>
      <c r="J609" s="82" t="s">
        <v>1723</v>
      </c>
      <c r="K609" s="82" t="s">
        <v>1724</v>
      </c>
      <c r="L609" s="82" t="s">
        <v>2667</v>
      </c>
      <c r="M609" s="83" t="s">
        <v>2668</v>
      </c>
      <c r="N609" s="74" t="b">
        <v>0</v>
      </c>
      <c r="O609" s="74" t="b">
        <v>0</v>
      </c>
      <c r="P609" s="74" t="b">
        <v>0</v>
      </c>
      <c r="Q609" s="82" t="s">
        <v>341</v>
      </c>
      <c r="R609" s="83" t="s">
        <v>803</v>
      </c>
      <c r="S609" s="82" t="s">
        <v>1728</v>
      </c>
      <c r="T609" s="41"/>
      <c r="U609" s="41"/>
      <c r="V609" s="41"/>
      <c r="W609" s="41"/>
      <c r="X609" s="41"/>
      <c r="Y609" s="41"/>
      <c r="Z609" s="41"/>
      <c r="AA609" s="41"/>
      <c r="AB609" s="41"/>
      <c r="AC609" s="41"/>
    </row>
    <row r="610" ht="15.75" customHeight="1">
      <c r="A610" s="82" t="s">
        <v>123</v>
      </c>
      <c r="B610" s="82" t="s">
        <v>2669</v>
      </c>
      <c r="C610" s="82" t="s">
        <v>140</v>
      </c>
      <c r="D610" s="82" t="s">
        <v>1718</v>
      </c>
      <c r="E610" s="82" t="s">
        <v>1719</v>
      </c>
      <c r="F610" s="82" t="s">
        <v>1730</v>
      </c>
      <c r="G610" s="82" t="s">
        <v>1721</v>
      </c>
      <c r="H610" s="82" t="s">
        <v>1722</v>
      </c>
      <c r="I610" s="41"/>
      <c r="J610" s="82" t="s">
        <v>1723</v>
      </c>
      <c r="K610" s="82" t="s">
        <v>1724</v>
      </c>
      <c r="L610" s="82" t="s">
        <v>2199</v>
      </c>
      <c r="M610" s="83" t="s">
        <v>2670</v>
      </c>
      <c r="N610" s="74" t="b">
        <v>0</v>
      </c>
      <c r="O610" s="74" t="b">
        <v>0</v>
      </c>
      <c r="P610" s="74" t="b">
        <v>0</v>
      </c>
      <c r="Q610" s="82" t="s">
        <v>341</v>
      </c>
      <c r="R610" s="83" t="s">
        <v>803</v>
      </c>
      <c r="S610" s="82" t="s">
        <v>1728</v>
      </c>
      <c r="T610" s="41"/>
      <c r="U610" s="41"/>
      <c r="V610" s="41"/>
      <c r="W610" s="41"/>
      <c r="X610" s="41"/>
      <c r="Y610" s="41"/>
      <c r="Z610" s="41"/>
      <c r="AA610" s="41"/>
      <c r="AB610" s="41"/>
      <c r="AC610" s="41"/>
    </row>
    <row r="611" ht="15.75" customHeight="1">
      <c r="A611" s="82" t="s">
        <v>123</v>
      </c>
      <c r="B611" s="82" t="s">
        <v>2671</v>
      </c>
      <c r="C611" s="82" t="s">
        <v>140</v>
      </c>
      <c r="D611" s="82" t="s">
        <v>1718</v>
      </c>
      <c r="E611" s="82" t="s">
        <v>1719</v>
      </c>
      <c r="F611" s="82" t="s">
        <v>1754</v>
      </c>
      <c r="G611" s="82" t="s">
        <v>1721</v>
      </c>
      <c r="H611" s="82" t="s">
        <v>1722</v>
      </c>
      <c r="I611" s="41"/>
      <c r="J611" s="82" t="s">
        <v>1723</v>
      </c>
      <c r="K611" s="82" t="s">
        <v>1724</v>
      </c>
      <c r="L611" s="82" t="s">
        <v>2440</v>
      </c>
      <c r="M611" s="83" t="s">
        <v>2672</v>
      </c>
      <c r="N611" s="74" t="b">
        <v>0</v>
      </c>
      <c r="O611" s="74" t="b">
        <v>0</v>
      </c>
      <c r="P611" s="74" t="b">
        <v>0</v>
      </c>
      <c r="Q611" s="82" t="s">
        <v>341</v>
      </c>
      <c r="R611" s="83" t="s">
        <v>803</v>
      </c>
      <c r="S611" s="82" t="s">
        <v>1728</v>
      </c>
      <c r="T611" s="41"/>
      <c r="U611" s="41"/>
      <c r="V611" s="41"/>
      <c r="W611" s="41"/>
      <c r="X611" s="41"/>
      <c r="Y611" s="41"/>
      <c r="Z611" s="41"/>
      <c r="AA611" s="41"/>
      <c r="AB611" s="41"/>
      <c r="AC611" s="41"/>
    </row>
    <row r="612" ht="15.75" customHeight="1">
      <c r="A612" s="82" t="s">
        <v>123</v>
      </c>
      <c r="B612" s="82" t="s">
        <v>2673</v>
      </c>
      <c r="C612" s="82" t="s">
        <v>140</v>
      </c>
      <c r="D612" s="82" t="s">
        <v>1718</v>
      </c>
      <c r="E612" s="82" t="s">
        <v>1719</v>
      </c>
      <c r="F612" s="82" t="s">
        <v>1754</v>
      </c>
      <c r="G612" s="82" t="s">
        <v>1721</v>
      </c>
      <c r="H612" s="82" t="s">
        <v>1722</v>
      </c>
      <c r="I612" s="41"/>
      <c r="J612" s="82" t="s">
        <v>1723</v>
      </c>
      <c r="K612" s="82" t="s">
        <v>1724</v>
      </c>
      <c r="L612" s="82" t="s">
        <v>2674</v>
      </c>
      <c r="M612" s="83" t="s">
        <v>2675</v>
      </c>
      <c r="N612" s="74" t="b">
        <v>0</v>
      </c>
      <c r="O612" s="74" t="b">
        <v>0</v>
      </c>
      <c r="P612" s="74" t="b">
        <v>0</v>
      </c>
      <c r="Q612" s="82" t="s">
        <v>341</v>
      </c>
      <c r="R612" s="83" t="s">
        <v>803</v>
      </c>
      <c r="S612" s="82" t="s">
        <v>1728</v>
      </c>
      <c r="T612" s="41"/>
      <c r="U612" s="41"/>
      <c r="V612" s="41"/>
      <c r="W612" s="41"/>
      <c r="X612" s="41"/>
      <c r="Y612" s="41"/>
      <c r="Z612" s="41"/>
      <c r="AA612" s="41"/>
      <c r="AB612" s="41"/>
      <c r="AC612" s="41"/>
    </row>
    <row r="613" ht="15.75" customHeight="1">
      <c r="A613" s="82" t="s">
        <v>123</v>
      </c>
      <c r="B613" s="82" t="s">
        <v>2676</v>
      </c>
      <c r="C613" s="82" t="s">
        <v>140</v>
      </c>
      <c r="D613" s="82" t="s">
        <v>1718</v>
      </c>
      <c r="E613" s="82" t="s">
        <v>1719</v>
      </c>
      <c r="F613" s="82" t="s">
        <v>1720</v>
      </c>
      <c r="G613" s="82" t="s">
        <v>1721</v>
      </c>
      <c r="H613" s="82" t="s">
        <v>1722</v>
      </c>
      <c r="I613" s="41"/>
      <c r="J613" s="82" t="s">
        <v>1723</v>
      </c>
      <c r="K613" s="82" t="s">
        <v>1724</v>
      </c>
      <c r="L613" s="82" t="s">
        <v>2537</v>
      </c>
      <c r="M613" s="83" t="s">
        <v>2677</v>
      </c>
      <c r="N613" s="74" t="b">
        <v>0</v>
      </c>
      <c r="O613" s="74" t="b">
        <v>0</v>
      </c>
      <c r="P613" s="74" t="b">
        <v>0</v>
      </c>
      <c r="Q613" s="82" t="s">
        <v>341</v>
      </c>
      <c r="R613" s="83" t="s">
        <v>803</v>
      </c>
      <c r="S613" s="82" t="s">
        <v>1728</v>
      </c>
      <c r="T613" s="41"/>
      <c r="U613" s="41"/>
      <c r="V613" s="41"/>
      <c r="W613" s="41"/>
      <c r="X613" s="41"/>
      <c r="Y613" s="41"/>
      <c r="Z613" s="41"/>
      <c r="AA613" s="41"/>
      <c r="AB613" s="41"/>
      <c r="AC613" s="41"/>
    </row>
    <row r="614" ht="15.75" customHeight="1">
      <c r="A614" s="82" t="s">
        <v>123</v>
      </c>
      <c r="B614" s="82" t="s">
        <v>2678</v>
      </c>
      <c r="C614" s="82" t="s">
        <v>140</v>
      </c>
      <c r="D614" s="82" t="s">
        <v>1718</v>
      </c>
      <c r="E614" s="82" t="s">
        <v>1719</v>
      </c>
      <c r="F614" s="82" t="s">
        <v>1720</v>
      </c>
      <c r="G614" s="82" t="s">
        <v>1721</v>
      </c>
      <c r="H614" s="82" t="s">
        <v>1722</v>
      </c>
      <c r="I614" s="41"/>
      <c r="J614" s="82" t="s">
        <v>1723</v>
      </c>
      <c r="K614" s="82" t="s">
        <v>1724</v>
      </c>
      <c r="L614" s="82" t="s">
        <v>2413</v>
      </c>
      <c r="M614" s="83" t="s">
        <v>2679</v>
      </c>
      <c r="N614" s="74" t="b">
        <v>0</v>
      </c>
      <c r="O614" s="74" t="b">
        <v>0</v>
      </c>
      <c r="P614" s="74" t="b">
        <v>0</v>
      </c>
      <c r="Q614" s="82" t="s">
        <v>341</v>
      </c>
      <c r="R614" s="83" t="s">
        <v>803</v>
      </c>
      <c r="S614" s="82" t="s">
        <v>1728</v>
      </c>
      <c r="T614" s="41"/>
      <c r="U614" s="41"/>
      <c r="V614" s="41"/>
      <c r="W614" s="41"/>
      <c r="X614" s="41"/>
      <c r="Y614" s="41"/>
      <c r="Z614" s="41"/>
      <c r="AA614" s="41"/>
      <c r="AB614" s="41"/>
      <c r="AC614" s="41"/>
    </row>
    <row r="615" ht="15.75" customHeight="1">
      <c r="A615" s="82" t="s">
        <v>123</v>
      </c>
      <c r="B615" s="82" t="s">
        <v>2680</v>
      </c>
      <c r="C615" s="82" t="s">
        <v>140</v>
      </c>
      <c r="D615" s="82" t="s">
        <v>1718</v>
      </c>
      <c r="E615" s="82" t="s">
        <v>1719</v>
      </c>
      <c r="F615" s="82" t="s">
        <v>1730</v>
      </c>
      <c r="G615" s="82" t="s">
        <v>1721</v>
      </c>
      <c r="H615" s="82" t="s">
        <v>1722</v>
      </c>
      <c r="I615" s="41"/>
      <c r="J615" s="82" t="s">
        <v>1723</v>
      </c>
      <c r="K615" s="82" t="s">
        <v>1724</v>
      </c>
      <c r="L615" s="82" t="s">
        <v>2635</v>
      </c>
      <c r="M615" s="83" t="s">
        <v>2681</v>
      </c>
      <c r="N615" s="74" t="b">
        <v>0</v>
      </c>
      <c r="O615" s="74" t="b">
        <v>0</v>
      </c>
      <c r="P615" s="74" t="b">
        <v>0</v>
      </c>
      <c r="Q615" s="82" t="s">
        <v>341</v>
      </c>
      <c r="R615" s="83" t="s">
        <v>803</v>
      </c>
      <c r="S615" s="82" t="s">
        <v>1728</v>
      </c>
      <c r="T615" s="41"/>
      <c r="U615" s="41"/>
      <c r="V615" s="41"/>
      <c r="W615" s="41"/>
      <c r="X615" s="41"/>
      <c r="Y615" s="41"/>
      <c r="Z615" s="41"/>
      <c r="AA615" s="41"/>
      <c r="AB615" s="41"/>
      <c r="AC615" s="41"/>
    </row>
    <row r="616" ht="15.75" customHeight="1">
      <c r="A616" s="82" t="s">
        <v>123</v>
      </c>
      <c r="B616" s="82" t="s">
        <v>2682</v>
      </c>
      <c r="C616" s="82" t="s">
        <v>140</v>
      </c>
      <c r="D616" s="82" t="s">
        <v>1718</v>
      </c>
      <c r="E616" s="82" t="s">
        <v>1719</v>
      </c>
      <c r="F616" s="82" t="s">
        <v>1720</v>
      </c>
      <c r="G616" s="82" t="s">
        <v>1721</v>
      </c>
      <c r="H616" s="82" t="s">
        <v>1722</v>
      </c>
      <c r="I616" s="41"/>
      <c r="J616" s="82" t="s">
        <v>1723</v>
      </c>
      <c r="K616" s="82" t="s">
        <v>1724</v>
      </c>
      <c r="L616" s="82" t="s">
        <v>2419</v>
      </c>
      <c r="M616" s="83" t="s">
        <v>2683</v>
      </c>
      <c r="N616" s="74" t="b">
        <v>0</v>
      </c>
      <c r="O616" s="74" t="b">
        <v>0</v>
      </c>
      <c r="P616" s="74" t="b">
        <v>0</v>
      </c>
      <c r="Q616" s="82" t="s">
        <v>341</v>
      </c>
      <c r="R616" s="83" t="s">
        <v>803</v>
      </c>
      <c r="S616" s="82" t="s">
        <v>1728</v>
      </c>
      <c r="T616" s="41"/>
      <c r="U616" s="41"/>
      <c r="V616" s="41"/>
      <c r="W616" s="41"/>
      <c r="X616" s="41"/>
      <c r="Y616" s="41"/>
      <c r="Z616" s="41"/>
      <c r="AA616" s="41"/>
      <c r="AB616" s="41"/>
      <c r="AC616" s="41"/>
    </row>
    <row r="617" ht="15.75" customHeight="1">
      <c r="A617" s="82" t="s">
        <v>123</v>
      </c>
      <c r="B617" s="82" t="s">
        <v>2684</v>
      </c>
      <c r="C617" s="82" t="s">
        <v>140</v>
      </c>
      <c r="D617" s="82" t="s">
        <v>1718</v>
      </c>
      <c r="E617" s="82" t="s">
        <v>1719</v>
      </c>
      <c r="F617" s="82" t="s">
        <v>1730</v>
      </c>
      <c r="G617" s="82" t="s">
        <v>1721</v>
      </c>
      <c r="H617" s="82" t="s">
        <v>1722</v>
      </c>
      <c r="I617" s="41"/>
      <c r="J617" s="82" t="s">
        <v>1723</v>
      </c>
      <c r="K617" s="82" t="s">
        <v>1724</v>
      </c>
      <c r="L617" s="82" t="s">
        <v>2199</v>
      </c>
      <c r="M617" s="83" t="s">
        <v>2685</v>
      </c>
      <c r="N617" s="74" t="b">
        <v>0</v>
      </c>
      <c r="O617" s="74" t="b">
        <v>0</v>
      </c>
      <c r="P617" s="74" t="b">
        <v>0</v>
      </c>
      <c r="Q617" s="82" t="s">
        <v>341</v>
      </c>
      <c r="R617" s="83" t="s">
        <v>803</v>
      </c>
      <c r="S617" s="82" t="s">
        <v>1728</v>
      </c>
      <c r="T617" s="41"/>
      <c r="U617" s="41"/>
      <c r="V617" s="41"/>
      <c r="W617" s="41"/>
      <c r="X617" s="41"/>
      <c r="Y617" s="41"/>
      <c r="Z617" s="41"/>
      <c r="AA617" s="41"/>
      <c r="AB617" s="41"/>
      <c r="AC617" s="41"/>
    </row>
    <row r="618" ht="15.75" customHeight="1">
      <c r="A618" s="82" t="s">
        <v>123</v>
      </c>
      <c r="B618" s="82" t="s">
        <v>2686</v>
      </c>
      <c r="C618" s="82" t="s">
        <v>140</v>
      </c>
      <c r="D618" s="82" t="s">
        <v>1718</v>
      </c>
      <c r="E618" s="82" t="s">
        <v>1719</v>
      </c>
      <c r="F618" s="82" t="s">
        <v>1720</v>
      </c>
      <c r="G618" s="82" t="s">
        <v>1721</v>
      </c>
      <c r="H618" s="82" t="s">
        <v>1722</v>
      </c>
      <c r="I618" s="41"/>
      <c r="J618" s="82" t="s">
        <v>1723</v>
      </c>
      <c r="K618" s="82" t="s">
        <v>1724</v>
      </c>
      <c r="L618" s="82" t="s">
        <v>2451</v>
      </c>
      <c r="M618" s="83" t="s">
        <v>2687</v>
      </c>
      <c r="N618" s="74" t="b">
        <v>0</v>
      </c>
      <c r="O618" s="74" t="b">
        <v>0</v>
      </c>
      <c r="P618" s="74" t="b">
        <v>0</v>
      </c>
      <c r="Q618" s="82" t="s">
        <v>341</v>
      </c>
      <c r="R618" s="83" t="s">
        <v>803</v>
      </c>
      <c r="S618" s="82" t="s">
        <v>1728</v>
      </c>
      <c r="T618" s="41"/>
      <c r="U618" s="41"/>
      <c r="V618" s="41"/>
      <c r="W618" s="41"/>
      <c r="X618" s="41"/>
      <c r="Y618" s="41"/>
      <c r="Z618" s="41"/>
      <c r="AA618" s="41"/>
      <c r="AB618" s="41"/>
      <c r="AC618" s="41"/>
    </row>
    <row r="619" ht="15.75" customHeight="1">
      <c r="A619" s="82" t="s">
        <v>123</v>
      </c>
      <c r="B619" s="82" t="s">
        <v>2688</v>
      </c>
      <c r="C619" s="82" t="s">
        <v>140</v>
      </c>
      <c r="D619" s="82" t="s">
        <v>1718</v>
      </c>
      <c r="E619" s="82" t="s">
        <v>1719</v>
      </c>
      <c r="F619" s="82" t="s">
        <v>1754</v>
      </c>
      <c r="G619" s="82" t="s">
        <v>1721</v>
      </c>
      <c r="H619" s="82" t="s">
        <v>1722</v>
      </c>
      <c r="I619" s="41"/>
      <c r="J619" s="82" t="s">
        <v>1723</v>
      </c>
      <c r="K619" s="82" t="s">
        <v>1724</v>
      </c>
      <c r="L619" s="82" t="s">
        <v>2689</v>
      </c>
      <c r="M619" s="83" t="s">
        <v>2690</v>
      </c>
      <c r="N619" s="74" t="b">
        <v>0</v>
      </c>
      <c r="O619" s="74" t="b">
        <v>0</v>
      </c>
      <c r="P619" s="74" t="b">
        <v>0</v>
      </c>
      <c r="Q619" s="82" t="s">
        <v>341</v>
      </c>
      <c r="R619" s="83" t="s">
        <v>803</v>
      </c>
      <c r="S619" s="82" t="s">
        <v>1728</v>
      </c>
      <c r="T619" s="41"/>
      <c r="U619" s="41"/>
      <c r="V619" s="41"/>
      <c r="W619" s="41"/>
      <c r="X619" s="41"/>
      <c r="Y619" s="41"/>
      <c r="Z619" s="41"/>
      <c r="AA619" s="41"/>
      <c r="AB619" s="41"/>
      <c r="AC619" s="41"/>
    </row>
    <row r="620" ht="15.75" customHeight="1">
      <c r="A620" s="82" t="s">
        <v>123</v>
      </c>
      <c r="B620" s="82" t="s">
        <v>2691</v>
      </c>
      <c r="C620" s="82" t="s">
        <v>140</v>
      </c>
      <c r="D620" s="82" t="s">
        <v>1718</v>
      </c>
      <c r="E620" s="82" t="s">
        <v>1719</v>
      </c>
      <c r="F620" s="82" t="s">
        <v>1754</v>
      </c>
      <c r="G620" s="82" t="s">
        <v>1721</v>
      </c>
      <c r="H620" s="82" t="s">
        <v>1722</v>
      </c>
      <c r="I620" s="41"/>
      <c r="J620" s="82" t="s">
        <v>1723</v>
      </c>
      <c r="K620" s="82" t="s">
        <v>1724</v>
      </c>
      <c r="L620" s="82" t="s">
        <v>2459</v>
      </c>
      <c r="M620" s="83" t="s">
        <v>2692</v>
      </c>
      <c r="N620" s="74" t="b">
        <v>0</v>
      </c>
      <c r="O620" s="74" t="b">
        <v>0</v>
      </c>
      <c r="P620" s="74" t="b">
        <v>0</v>
      </c>
      <c r="Q620" s="82" t="s">
        <v>341</v>
      </c>
      <c r="R620" s="83" t="s">
        <v>803</v>
      </c>
      <c r="S620" s="82" t="s">
        <v>1728</v>
      </c>
      <c r="T620" s="41"/>
      <c r="U620" s="41"/>
      <c r="V620" s="41"/>
      <c r="W620" s="41"/>
      <c r="X620" s="41"/>
      <c r="Y620" s="41"/>
      <c r="Z620" s="41"/>
      <c r="AA620" s="41"/>
      <c r="AB620" s="41"/>
      <c r="AC620" s="41"/>
    </row>
    <row r="621" ht="15.75" customHeight="1">
      <c r="A621" s="82" t="s">
        <v>123</v>
      </c>
      <c r="B621" s="82" t="s">
        <v>2693</v>
      </c>
      <c r="C621" s="82" t="s">
        <v>140</v>
      </c>
      <c r="D621" s="82" t="s">
        <v>1718</v>
      </c>
      <c r="E621" s="82" t="s">
        <v>1719</v>
      </c>
      <c r="F621" s="82" t="s">
        <v>1730</v>
      </c>
      <c r="G621" s="82" t="s">
        <v>1721</v>
      </c>
      <c r="H621" s="82" t="s">
        <v>1722</v>
      </c>
      <c r="I621" s="41"/>
      <c r="J621" s="82" t="s">
        <v>1723</v>
      </c>
      <c r="K621" s="82" t="s">
        <v>1724</v>
      </c>
      <c r="L621" s="82" t="s">
        <v>2422</v>
      </c>
      <c r="M621" s="83" t="s">
        <v>2694</v>
      </c>
      <c r="N621" s="74" t="b">
        <v>0</v>
      </c>
      <c r="O621" s="74" t="b">
        <v>0</v>
      </c>
      <c r="P621" s="74" t="b">
        <v>0</v>
      </c>
      <c r="Q621" s="82" t="s">
        <v>341</v>
      </c>
      <c r="R621" s="83" t="s">
        <v>803</v>
      </c>
      <c r="S621" s="82" t="s">
        <v>1728</v>
      </c>
      <c r="T621" s="41"/>
      <c r="U621" s="41"/>
      <c r="V621" s="41"/>
      <c r="W621" s="41"/>
      <c r="X621" s="41"/>
      <c r="Y621" s="41"/>
      <c r="Z621" s="41"/>
      <c r="AA621" s="41"/>
      <c r="AB621" s="41"/>
      <c r="AC621" s="41"/>
    </row>
    <row r="622" ht="15.75" customHeight="1">
      <c r="A622" s="82" t="s">
        <v>123</v>
      </c>
      <c r="B622" s="82" t="s">
        <v>2695</v>
      </c>
      <c r="C622" s="82" t="s">
        <v>140</v>
      </c>
      <c r="D622" s="82" t="s">
        <v>1718</v>
      </c>
      <c r="E622" s="82" t="s">
        <v>1719</v>
      </c>
      <c r="F622" s="82" t="s">
        <v>1720</v>
      </c>
      <c r="G622" s="82" t="s">
        <v>1721</v>
      </c>
      <c r="H622" s="82" t="s">
        <v>1722</v>
      </c>
      <c r="I622" s="41"/>
      <c r="J622" s="82" t="s">
        <v>1723</v>
      </c>
      <c r="K622" s="82" t="s">
        <v>1724</v>
      </c>
      <c r="L622" s="82" t="s">
        <v>2473</v>
      </c>
      <c r="M622" s="83" t="s">
        <v>2696</v>
      </c>
      <c r="N622" s="74" t="b">
        <v>0</v>
      </c>
      <c r="O622" s="74" t="b">
        <v>0</v>
      </c>
      <c r="P622" s="74" t="b">
        <v>0</v>
      </c>
      <c r="Q622" s="82" t="s">
        <v>341</v>
      </c>
      <c r="R622" s="83" t="s">
        <v>803</v>
      </c>
      <c r="S622" s="82" t="s">
        <v>1728</v>
      </c>
      <c r="T622" s="41"/>
      <c r="U622" s="41"/>
      <c r="V622" s="41"/>
      <c r="W622" s="41"/>
      <c r="X622" s="41"/>
      <c r="Y622" s="41"/>
      <c r="Z622" s="41"/>
      <c r="AA622" s="41"/>
      <c r="AB622" s="41"/>
      <c r="AC622" s="41"/>
    </row>
    <row r="623" ht="15.75" customHeight="1">
      <c r="A623" s="82" t="s">
        <v>123</v>
      </c>
      <c r="B623" s="82" t="s">
        <v>2697</v>
      </c>
      <c r="C623" s="82" t="s">
        <v>140</v>
      </c>
      <c r="D623" s="82" t="s">
        <v>1718</v>
      </c>
      <c r="E623" s="82" t="s">
        <v>1719</v>
      </c>
      <c r="F623" s="82" t="s">
        <v>1754</v>
      </c>
      <c r="G623" s="82" t="s">
        <v>1721</v>
      </c>
      <c r="H623" s="82" t="s">
        <v>1722</v>
      </c>
      <c r="I623" s="41"/>
      <c r="J623" s="82" t="s">
        <v>1723</v>
      </c>
      <c r="K623" s="82" t="s">
        <v>1724</v>
      </c>
      <c r="L623" s="82" t="s">
        <v>2401</v>
      </c>
      <c r="M623" s="83" t="s">
        <v>2698</v>
      </c>
      <c r="N623" s="74" t="b">
        <v>0</v>
      </c>
      <c r="O623" s="74" t="b">
        <v>0</v>
      </c>
      <c r="P623" s="74" t="b">
        <v>0</v>
      </c>
      <c r="Q623" s="82" t="s">
        <v>341</v>
      </c>
      <c r="R623" s="83" t="s">
        <v>803</v>
      </c>
      <c r="S623" s="82" t="s">
        <v>1728</v>
      </c>
      <c r="T623" s="41"/>
      <c r="U623" s="41"/>
      <c r="V623" s="41"/>
      <c r="W623" s="41"/>
      <c r="X623" s="41"/>
      <c r="Y623" s="41"/>
      <c r="Z623" s="41"/>
      <c r="AA623" s="41"/>
      <c r="AB623" s="41"/>
      <c r="AC623" s="41"/>
    </row>
    <row r="624" ht="15.75" customHeight="1">
      <c r="A624" s="82" t="s">
        <v>123</v>
      </c>
      <c r="B624" s="82" t="s">
        <v>2699</v>
      </c>
      <c r="C624" s="82" t="s">
        <v>140</v>
      </c>
      <c r="D624" s="82" t="s">
        <v>1718</v>
      </c>
      <c r="E624" s="82" t="s">
        <v>1719</v>
      </c>
      <c r="F624" s="82" t="s">
        <v>1754</v>
      </c>
      <c r="G624" s="82" t="s">
        <v>1721</v>
      </c>
      <c r="H624" s="82" t="s">
        <v>1722</v>
      </c>
      <c r="I624" s="41"/>
      <c r="J624" s="82" t="s">
        <v>1723</v>
      </c>
      <c r="K624" s="82" t="s">
        <v>1724</v>
      </c>
      <c r="L624" s="82" t="s">
        <v>2700</v>
      </c>
      <c r="M624" s="83" t="s">
        <v>2701</v>
      </c>
      <c r="N624" s="74" t="b">
        <v>0</v>
      </c>
      <c r="O624" s="74" t="b">
        <v>0</v>
      </c>
      <c r="P624" s="74" t="b">
        <v>0</v>
      </c>
      <c r="Q624" s="82" t="s">
        <v>341</v>
      </c>
      <c r="R624" s="83" t="s">
        <v>803</v>
      </c>
      <c r="S624" s="82" t="s">
        <v>1728</v>
      </c>
      <c r="T624" s="41"/>
      <c r="U624" s="41"/>
      <c r="V624" s="41"/>
      <c r="W624" s="41"/>
      <c r="X624" s="41"/>
      <c r="Y624" s="41"/>
      <c r="Z624" s="41"/>
      <c r="AA624" s="41"/>
      <c r="AB624" s="41"/>
      <c r="AC624" s="41"/>
    </row>
    <row r="625" ht="15.75" customHeight="1">
      <c r="A625" s="82" t="s">
        <v>123</v>
      </c>
      <c r="B625" s="82" t="s">
        <v>2702</v>
      </c>
      <c r="C625" s="82" t="s">
        <v>140</v>
      </c>
      <c r="D625" s="82" t="s">
        <v>1718</v>
      </c>
      <c r="E625" s="82" t="s">
        <v>1719</v>
      </c>
      <c r="F625" s="82" t="s">
        <v>1720</v>
      </c>
      <c r="G625" s="82" t="s">
        <v>1721</v>
      </c>
      <c r="H625" s="82" t="s">
        <v>1722</v>
      </c>
      <c r="I625" s="41"/>
      <c r="J625" s="82" t="s">
        <v>1723</v>
      </c>
      <c r="K625" s="82" t="s">
        <v>1724</v>
      </c>
      <c r="L625" s="82" t="s">
        <v>2413</v>
      </c>
      <c r="M625" s="83" t="s">
        <v>2703</v>
      </c>
      <c r="N625" s="74" t="b">
        <v>0</v>
      </c>
      <c r="O625" s="74" t="b">
        <v>0</v>
      </c>
      <c r="P625" s="74" t="b">
        <v>0</v>
      </c>
      <c r="Q625" s="82" t="s">
        <v>341</v>
      </c>
      <c r="R625" s="83" t="s">
        <v>803</v>
      </c>
      <c r="S625" s="82" t="s">
        <v>1728</v>
      </c>
      <c r="T625" s="41"/>
      <c r="U625" s="41"/>
      <c r="V625" s="41"/>
      <c r="W625" s="41"/>
      <c r="X625" s="41"/>
      <c r="Y625" s="41"/>
      <c r="Z625" s="41"/>
      <c r="AA625" s="41"/>
      <c r="AB625" s="41"/>
      <c r="AC625" s="41"/>
    </row>
    <row r="626" ht="15.75" customHeight="1">
      <c r="A626" s="82" t="s">
        <v>123</v>
      </c>
      <c r="B626" s="82" t="s">
        <v>2704</v>
      </c>
      <c r="C626" s="82" t="s">
        <v>2324</v>
      </c>
      <c r="D626" s="82" t="s">
        <v>1718</v>
      </c>
      <c r="E626" s="82" t="s">
        <v>1719</v>
      </c>
      <c r="F626" s="82" t="s">
        <v>1720</v>
      </c>
      <c r="G626" s="82" t="s">
        <v>1721</v>
      </c>
      <c r="H626" s="82" t="s">
        <v>1722</v>
      </c>
      <c r="I626" s="41"/>
      <c r="J626" s="82" t="s">
        <v>1723</v>
      </c>
      <c r="K626" s="82" t="s">
        <v>1724</v>
      </c>
      <c r="L626" s="82" t="s">
        <v>2705</v>
      </c>
      <c r="M626" s="83" t="s">
        <v>2706</v>
      </c>
      <c r="N626" s="74" t="b">
        <v>0</v>
      </c>
      <c r="O626" s="74" t="b">
        <v>0</v>
      </c>
      <c r="P626" s="74" t="b">
        <v>0</v>
      </c>
      <c r="Q626" s="82" t="s">
        <v>341</v>
      </c>
      <c r="R626" s="83" t="s">
        <v>2333</v>
      </c>
      <c r="S626" s="82" t="s">
        <v>1728</v>
      </c>
      <c r="T626" s="41"/>
      <c r="U626" s="41"/>
      <c r="V626" s="41"/>
      <c r="W626" s="41"/>
      <c r="X626" s="41"/>
      <c r="Y626" s="41"/>
      <c r="Z626" s="41"/>
      <c r="AA626" s="41"/>
      <c r="AB626" s="41"/>
      <c r="AC626" s="41"/>
    </row>
    <row r="627" ht="15.75" customHeight="1">
      <c r="A627" s="82" t="s">
        <v>123</v>
      </c>
      <c r="B627" s="82" t="s">
        <v>2707</v>
      </c>
      <c r="C627" s="82" t="s">
        <v>2324</v>
      </c>
      <c r="D627" s="82" t="s">
        <v>1718</v>
      </c>
      <c r="E627" s="82" t="s">
        <v>1719</v>
      </c>
      <c r="F627" s="82" t="s">
        <v>1720</v>
      </c>
      <c r="G627" s="82" t="s">
        <v>1721</v>
      </c>
      <c r="H627" s="82" t="s">
        <v>1722</v>
      </c>
      <c r="I627" s="41"/>
      <c r="J627" s="82" t="s">
        <v>1723</v>
      </c>
      <c r="K627" s="82" t="s">
        <v>1724</v>
      </c>
      <c r="L627" s="82" t="s">
        <v>2708</v>
      </c>
      <c r="M627" s="83" t="s">
        <v>2709</v>
      </c>
      <c r="N627" s="74" t="b">
        <v>0</v>
      </c>
      <c r="O627" s="74" t="b">
        <v>0</v>
      </c>
      <c r="P627" s="74" t="b">
        <v>0</v>
      </c>
      <c r="Q627" s="82" t="s">
        <v>341</v>
      </c>
      <c r="R627" s="83" t="s">
        <v>2333</v>
      </c>
      <c r="S627" s="82" t="s">
        <v>1728</v>
      </c>
      <c r="T627" s="41"/>
      <c r="U627" s="41"/>
      <c r="V627" s="41"/>
      <c r="W627" s="41"/>
      <c r="X627" s="41"/>
      <c r="Y627" s="41"/>
      <c r="Z627" s="41"/>
      <c r="AA627" s="41"/>
      <c r="AB627" s="41"/>
      <c r="AC627" s="41"/>
    </row>
    <row r="628" ht="15.75" customHeight="1">
      <c r="A628" s="82" t="s">
        <v>123</v>
      </c>
      <c r="B628" s="82" t="s">
        <v>2710</v>
      </c>
      <c r="C628" s="82" t="s">
        <v>2324</v>
      </c>
      <c r="D628" s="82" t="s">
        <v>1718</v>
      </c>
      <c r="E628" s="82" t="s">
        <v>1719</v>
      </c>
      <c r="F628" s="82" t="s">
        <v>1720</v>
      </c>
      <c r="G628" s="82" t="s">
        <v>1721</v>
      </c>
      <c r="H628" s="82" t="s">
        <v>1722</v>
      </c>
      <c r="I628" s="41"/>
      <c r="J628" s="82" t="s">
        <v>1723</v>
      </c>
      <c r="K628" s="82" t="s">
        <v>1724</v>
      </c>
      <c r="L628" s="82" t="s">
        <v>2711</v>
      </c>
      <c r="M628" s="83" t="s">
        <v>2712</v>
      </c>
      <c r="N628" s="74" t="b">
        <v>0</v>
      </c>
      <c r="O628" s="74" t="b">
        <v>0</v>
      </c>
      <c r="P628" s="74" t="b">
        <v>0</v>
      </c>
      <c r="Q628" s="82" t="s">
        <v>341</v>
      </c>
      <c r="R628" s="83" t="s">
        <v>2333</v>
      </c>
      <c r="S628" s="82" t="s">
        <v>1728</v>
      </c>
      <c r="T628" s="41"/>
      <c r="U628" s="41"/>
      <c r="V628" s="41"/>
      <c r="W628" s="41"/>
      <c r="X628" s="41"/>
      <c r="Y628" s="41"/>
      <c r="Z628" s="41"/>
      <c r="AA628" s="41"/>
      <c r="AB628" s="41"/>
      <c r="AC628" s="41"/>
    </row>
    <row r="629" ht="15.75" customHeight="1">
      <c r="A629" s="82" t="s">
        <v>123</v>
      </c>
      <c r="B629" s="82" t="s">
        <v>2713</v>
      </c>
      <c r="C629" s="82" t="s">
        <v>2324</v>
      </c>
      <c r="D629" s="82" t="s">
        <v>1718</v>
      </c>
      <c r="E629" s="82" t="s">
        <v>1719</v>
      </c>
      <c r="F629" s="82" t="s">
        <v>1720</v>
      </c>
      <c r="G629" s="82" t="s">
        <v>1721</v>
      </c>
      <c r="H629" s="82" t="s">
        <v>1722</v>
      </c>
      <c r="I629" s="41"/>
      <c r="J629" s="82" t="s">
        <v>1723</v>
      </c>
      <c r="K629" s="82" t="s">
        <v>1724</v>
      </c>
      <c r="L629" s="82" t="s">
        <v>2714</v>
      </c>
      <c r="M629" s="83" t="s">
        <v>2715</v>
      </c>
      <c r="N629" s="74" t="b">
        <v>0</v>
      </c>
      <c r="O629" s="74" t="b">
        <v>0</v>
      </c>
      <c r="P629" s="74" t="b">
        <v>0</v>
      </c>
      <c r="Q629" s="82" t="s">
        <v>341</v>
      </c>
      <c r="R629" s="83" t="s">
        <v>2333</v>
      </c>
      <c r="S629" s="82" t="s">
        <v>1728</v>
      </c>
      <c r="T629" s="41"/>
      <c r="U629" s="41"/>
      <c r="V629" s="41"/>
      <c r="W629" s="41"/>
      <c r="X629" s="41"/>
      <c r="Y629" s="41"/>
      <c r="Z629" s="41"/>
      <c r="AA629" s="41"/>
      <c r="AB629" s="41"/>
      <c r="AC629" s="41"/>
    </row>
    <row r="630" ht="15.75" customHeight="1">
      <c r="A630" s="82" t="s">
        <v>123</v>
      </c>
      <c r="B630" s="82" t="s">
        <v>2716</v>
      </c>
      <c r="C630" s="82" t="s">
        <v>2324</v>
      </c>
      <c r="D630" s="82" t="s">
        <v>1718</v>
      </c>
      <c r="E630" s="82" t="s">
        <v>1719</v>
      </c>
      <c r="F630" s="82" t="s">
        <v>1720</v>
      </c>
      <c r="G630" s="82" t="s">
        <v>1721</v>
      </c>
      <c r="H630" s="82" t="s">
        <v>1722</v>
      </c>
      <c r="I630" s="41"/>
      <c r="J630" s="82" t="s">
        <v>1723</v>
      </c>
      <c r="K630" s="82" t="s">
        <v>1724</v>
      </c>
      <c r="L630" s="82" t="s">
        <v>2705</v>
      </c>
      <c r="M630" s="83" t="s">
        <v>2717</v>
      </c>
      <c r="N630" s="74" t="b">
        <v>0</v>
      </c>
      <c r="O630" s="74" t="b">
        <v>0</v>
      </c>
      <c r="P630" s="74" t="b">
        <v>0</v>
      </c>
      <c r="Q630" s="82" t="s">
        <v>341</v>
      </c>
      <c r="R630" s="83" t="s">
        <v>2333</v>
      </c>
      <c r="S630" s="82" t="s">
        <v>1728</v>
      </c>
      <c r="T630" s="41"/>
      <c r="U630" s="41"/>
      <c r="V630" s="41"/>
      <c r="W630" s="41"/>
      <c r="X630" s="41"/>
      <c r="Y630" s="41"/>
      <c r="Z630" s="41"/>
      <c r="AA630" s="41"/>
      <c r="AB630" s="41"/>
      <c r="AC630" s="41"/>
    </row>
    <row r="631" ht="15.75" customHeight="1">
      <c r="A631" s="82" t="s">
        <v>123</v>
      </c>
      <c r="B631" s="82" t="s">
        <v>2718</v>
      </c>
      <c r="C631" s="82" t="s">
        <v>2324</v>
      </c>
      <c r="D631" s="82" t="s">
        <v>1718</v>
      </c>
      <c r="E631" s="82" t="s">
        <v>1719</v>
      </c>
      <c r="F631" s="82" t="s">
        <v>1720</v>
      </c>
      <c r="G631" s="82" t="s">
        <v>1721</v>
      </c>
      <c r="H631" s="82" t="s">
        <v>1722</v>
      </c>
      <c r="I631" s="41"/>
      <c r="J631" s="82" t="s">
        <v>1723</v>
      </c>
      <c r="K631" s="82" t="s">
        <v>1724</v>
      </c>
      <c r="L631" s="82" t="s">
        <v>2705</v>
      </c>
      <c r="M631" s="83" t="s">
        <v>2719</v>
      </c>
      <c r="N631" s="74" t="b">
        <v>0</v>
      </c>
      <c r="O631" s="74" t="b">
        <v>0</v>
      </c>
      <c r="P631" s="74" t="b">
        <v>0</v>
      </c>
      <c r="Q631" s="82" t="s">
        <v>341</v>
      </c>
      <c r="R631" s="83" t="s">
        <v>2333</v>
      </c>
      <c r="S631" s="82" t="s">
        <v>1728</v>
      </c>
      <c r="T631" s="41"/>
      <c r="U631" s="41"/>
      <c r="V631" s="41"/>
      <c r="W631" s="41"/>
      <c r="X631" s="41"/>
      <c r="Y631" s="41"/>
      <c r="Z631" s="41"/>
      <c r="AA631" s="41"/>
      <c r="AB631" s="41"/>
      <c r="AC631" s="41"/>
    </row>
    <row r="632" ht="15.75" customHeight="1">
      <c r="A632" s="82" t="s">
        <v>123</v>
      </c>
      <c r="B632" s="82" t="s">
        <v>2720</v>
      </c>
      <c r="C632" s="82" t="s">
        <v>2324</v>
      </c>
      <c r="D632" s="82" t="s">
        <v>1718</v>
      </c>
      <c r="E632" s="82" t="s">
        <v>1719</v>
      </c>
      <c r="F632" s="82" t="s">
        <v>1720</v>
      </c>
      <c r="G632" s="82" t="s">
        <v>1721</v>
      </c>
      <c r="H632" s="82" t="s">
        <v>1722</v>
      </c>
      <c r="I632" s="41"/>
      <c r="J632" s="82" t="s">
        <v>1723</v>
      </c>
      <c r="K632" s="82" t="s">
        <v>1724</v>
      </c>
      <c r="L632" s="82" t="s">
        <v>2721</v>
      </c>
      <c r="M632" s="83" t="s">
        <v>2722</v>
      </c>
      <c r="N632" s="74" t="b">
        <v>0</v>
      </c>
      <c r="O632" s="74" t="b">
        <v>0</v>
      </c>
      <c r="P632" s="74" t="b">
        <v>0</v>
      </c>
      <c r="Q632" s="82" t="s">
        <v>341</v>
      </c>
      <c r="R632" s="83" t="s">
        <v>2333</v>
      </c>
      <c r="S632" s="82" t="s">
        <v>1728</v>
      </c>
      <c r="T632" s="41"/>
      <c r="U632" s="41"/>
      <c r="V632" s="41"/>
      <c r="W632" s="41"/>
      <c r="X632" s="41"/>
      <c r="Y632" s="41"/>
      <c r="Z632" s="41"/>
      <c r="AA632" s="41"/>
      <c r="AB632" s="41"/>
      <c r="AC632" s="41"/>
    </row>
    <row r="633" ht="15.75" customHeight="1">
      <c r="A633" s="82" t="s">
        <v>123</v>
      </c>
      <c r="B633" s="82" t="s">
        <v>2723</v>
      </c>
      <c r="C633" s="82" t="s">
        <v>2335</v>
      </c>
      <c r="D633" s="82" t="s">
        <v>1718</v>
      </c>
      <c r="E633" s="82" t="s">
        <v>1719</v>
      </c>
      <c r="F633" s="82" t="s">
        <v>1730</v>
      </c>
      <c r="G633" s="82" t="s">
        <v>1721</v>
      </c>
      <c r="H633" s="82" t="s">
        <v>1722</v>
      </c>
      <c r="I633" s="41"/>
      <c r="J633" s="82" t="s">
        <v>1723</v>
      </c>
      <c r="K633" s="82" t="s">
        <v>1724</v>
      </c>
      <c r="L633" s="82" t="s">
        <v>2199</v>
      </c>
      <c r="M633" s="83" t="s">
        <v>2724</v>
      </c>
      <c r="N633" s="74" t="b">
        <v>0</v>
      </c>
      <c r="O633" s="74" t="b">
        <v>0</v>
      </c>
      <c r="P633" s="74" t="b">
        <v>0</v>
      </c>
      <c r="Q633" s="82" t="s">
        <v>341</v>
      </c>
      <c r="R633" s="83" t="s">
        <v>2338</v>
      </c>
      <c r="S633" s="82" t="s">
        <v>1728</v>
      </c>
      <c r="T633" s="41"/>
      <c r="U633" s="41"/>
      <c r="V633" s="41"/>
      <c r="W633" s="41"/>
      <c r="X633" s="41"/>
      <c r="Y633" s="41"/>
      <c r="Z633" s="41"/>
      <c r="AA633" s="41"/>
      <c r="AB633" s="41"/>
      <c r="AC633" s="41"/>
    </row>
    <row r="634" ht="15.75" customHeight="1">
      <c r="A634" s="82" t="s">
        <v>123</v>
      </c>
      <c r="B634" s="82" t="s">
        <v>2725</v>
      </c>
      <c r="C634" s="82" t="s">
        <v>2335</v>
      </c>
      <c r="D634" s="82" t="s">
        <v>1718</v>
      </c>
      <c r="E634" s="82" t="s">
        <v>1719</v>
      </c>
      <c r="F634" s="82" t="s">
        <v>1730</v>
      </c>
      <c r="G634" s="82" t="s">
        <v>1721</v>
      </c>
      <c r="H634" s="82" t="s">
        <v>1722</v>
      </c>
      <c r="I634" s="41"/>
      <c r="J634" s="82" t="s">
        <v>1723</v>
      </c>
      <c r="K634" s="82" t="s">
        <v>1724</v>
      </c>
      <c r="L634" s="82" t="s">
        <v>2199</v>
      </c>
      <c r="M634" s="83" t="s">
        <v>2726</v>
      </c>
      <c r="N634" s="74" t="b">
        <v>0</v>
      </c>
      <c r="O634" s="74" t="b">
        <v>0</v>
      </c>
      <c r="P634" s="74" t="b">
        <v>0</v>
      </c>
      <c r="Q634" s="82" t="s">
        <v>341</v>
      </c>
      <c r="R634" s="83" t="s">
        <v>2338</v>
      </c>
      <c r="S634" s="82" t="s">
        <v>1728</v>
      </c>
      <c r="T634" s="41"/>
      <c r="U634" s="41"/>
      <c r="V634" s="41"/>
      <c r="W634" s="41"/>
      <c r="X634" s="41"/>
      <c r="Y634" s="41"/>
      <c r="Z634" s="41"/>
      <c r="AA634" s="41"/>
      <c r="AB634" s="41"/>
      <c r="AC634" s="41"/>
    </row>
    <row r="635" ht="15.75" customHeight="1">
      <c r="A635" s="82" t="s">
        <v>123</v>
      </c>
      <c r="B635" s="82" t="s">
        <v>2727</v>
      </c>
      <c r="C635" s="82" t="s">
        <v>2335</v>
      </c>
      <c r="D635" s="82" t="s">
        <v>1718</v>
      </c>
      <c r="E635" s="82" t="s">
        <v>1719</v>
      </c>
      <c r="F635" s="82" t="s">
        <v>1730</v>
      </c>
      <c r="G635" s="82" t="s">
        <v>1721</v>
      </c>
      <c r="H635" s="82" t="s">
        <v>1722</v>
      </c>
      <c r="I635" s="41"/>
      <c r="J635" s="82" t="s">
        <v>1723</v>
      </c>
      <c r="K635" s="82" t="s">
        <v>1724</v>
      </c>
      <c r="L635" s="82" t="s">
        <v>2199</v>
      </c>
      <c r="M635" s="83" t="s">
        <v>2728</v>
      </c>
      <c r="N635" s="74" t="b">
        <v>0</v>
      </c>
      <c r="O635" s="74" t="b">
        <v>0</v>
      </c>
      <c r="P635" s="74" t="b">
        <v>0</v>
      </c>
      <c r="Q635" s="82" t="s">
        <v>341</v>
      </c>
      <c r="R635" s="83" t="s">
        <v>2338</v>
      </c>
      <c r="S635" s="82" t="s">
        <v>1728</v>
      </c>
      <c r="T635" s="41"/>
      <c r="U635" s="41"/>
      <c r="V635" s="41"/>
      <c r="W635" s="41"/>
      <c r="X635" s="41"/>
      <c r="Y635" s="41"/>
      <c r="Z635" s="41"/>
      <c r="AA635" s="41"/>
      <c r="AB635" s="41"/>
      <c r="AC635" s="41"/>
    </row>
    <row r="636" ht="15.75" customHeight="1">
      <c r="A636" s="82" t="s">
        <v>123</v>
      </c>
      <c r="B636" s="82" t="s">
        <v>2729</v>
      </c>
      <c r="C636" s="82" t="s">
        <v>2335</v>
      </c>
      <c r="D636" s="82" t="s">
        <v>1718</v>
      </c>
      <c r="E636" s="82" t="s">
        <v>1719</v>
      </c>
      <c r="F636" s="82" t="s">
        <v>1720</v>
      </c>
      <c r="G636" s="82" t="s">
        <v>1721</v>
      </c>
      <c r="H636" s="82" t="s">
        <v>1722</v>
      </c>
      <c r="I636" s="41"/>
      <c r="J636" s="82" t="s">
        <v>1723</v>
      </c>
      <c r="K636" s="82" t="s">
        <v>1724</v>
      </c>
      <c r="L636" s="82" t="s">
        <v>2614</v>
      </c>
      <c r="M636" s="83" t="s">
        <v>2730</v>
      </c>
      <c r="N636" s="74" t="b">
        <v>0</v>
      </c>
      <c r="O636" s="74" t="b">
        <v>0</v>
      </c>
      <c r="P636" s="74" t="b">
        <v>0</v>
      </c>
      <c r="Q636" s="82" t="s">
        <v>341</v>
      </c>
      <c r="R636" s="83" t="s">
        <v>2338</v>
      </c>
      <c r="S636" s="82" t="s">
        <v>1728</v>
      </c>
      <c r="T636" s="41"/>
      <c r="U636" s="41"/>
      <c r="V636" s="41"/>
      <c r="W636" s="41"/>
      <c r="X636" s="41"/>
      <c r="Y636" s="41"/>
      <c r="Z636" s="41"/>
      <c r="AA636" s="41"/>
      <c r="AB636" s="41"/>
      <c r="AC636" s="41"/>
    </row>
    <row r="637" ht="15.75" customHeight="1">
      <c r="A637" s="82" t="s">
        <v>123</v>
      </c>
      <c r="B637" s="82" t="s">
        <v>2731</v>
      </c>
      <c r="C637" s="82" t="s">
        <v>2335</v>
      </c>
      <c r="D637" s="82" t="s">
        <v>1718</v>
      </c>
      <c r="E637" s="82" t="s">
        <v>1719</v>
      </c>
      <c r="F637" s="82" t="s">
        <v>1730</v>
      </c>
      <c r="G637" s="82" t="s">
        <v>1721</v>
      </c>
      <c r="H637" s="82" t="s">
        <v>1722</v>
      </c>
      <c r="I637" s="41"/>
      <c r="J637" s="82" t="s">
        <v>1723</v>
      </c>
      <c r="K637" s="82" t="s">
        <v>1724</v>
      </c>
      <c r="L637" s="82" t="s">
        <v>2199</v>
      </c>
      <c r="M637" s="83" t="s">
        <v>2732</v>
      </c>
      <c r="N637" s="74" t="b">
        <v>0</v>
      </c>
      <c r="O637" s="74" t="b">
        <v>0</v>
      </c>
      <c r="P637" s="74" t="b">
        <v>0</v>
      </c>
      <c r="Q637" s="82" t="s">
        <v>341</v>
      </c>
      <c r="R637" s="83" t="s">
        <v>2338</v>
      </c>
      <c r="S637" s="82" t="s">
        <v>1728</v>
      </c>
      <c r="T637" s="41"/>
      <c r="U637" s="41"/>
      <c r="V637" s="41"/>
      <c r="W637" s="41"/>
      <c r="X637" s="41"/>
      <c r="Y637" s="41"/>
      <c r="Z637" s="41"/>
      <c r="AA637" s="41"/>
      <c r="AB637" s="41"/>
      <c r="AC637" s="41"/>
    </row>
    <row r="638" ht="15.75" customHeight="1">
      <c r="A638" s="82" t="s">
        <v>123</v>
      </c>
      <c r="B638" s="82" t="s">
        <v>2733</v>
      </c>
      <c r="C638" s="82" t="s">
        <v>2335</v>
      </c>
      <c r="D638" s="82" t="s">
        <v>1718</v>
      </c>
      <c r="E638" s="82" t="s">
        <v>1719</v>
      </c>
      <c r="F638" s="82" t="s">
        <v>1754</v>
      </c>
      <c r="G638" s="82" t="s">
        <v>1721</v>
      </c>
      <c r="H638" s="82" t="s">
        <v>1722</v>
      </c>
      <c r="I638" s="41"/>
      <c r="J638" s="82" t="s">
        <v>1723</v>
      </c>
      <c r="K638" s="82" t="s">
        <v>1724</v>
      </c>
      <c r="L638" s="82" t="s">
        <v>2428</v>
      </c>
      <c r="M638" s="83" t="s">
        <v>2734</v>
      </c>
      <c r="N638" s="74" t="b">
        <v>0</v>
      </c>
      <c r="O638" s="74" t="b">
        <v>0</v>
      </c>
      <c r="P638" s="74" t="b">
        <v>0</v>
      </c>
      <c r="Q638" s="82" t="s">
        <v>341</v>
      </c>
      <c r="R638" s="83" t="s">
        <v>2338</v>
      </c>
      <c r="S638" s="82" t="s">
        <v>1728</v>
      </c>
      <c r="T638" s="41"/>
      <c r="U638" s="41"/>
      <c r="V638" s="41"/>
      <c r="W638" s="41"/>
      <c r="X638" s="41"/>
      <c r="Y638" s="41"/>
      <c r="Z638" s="41"/>
      <c r="AA638" s="41"/>
      <c r="AB638" s="41"/>
      <c r="AC638" s="41"/>
    </row>
    <row r="639" ht="15.75" customHeight="1">
      <c r="A639" s="82" t="s">
        <v>123</v>
      </c>
      <c r="B639" s="82" t="s">
        <v>2735</v>
      </c>
      <c r="C639" s="82" t="s">
        <v>2335</v>
      </c>
      <c r="D639" s="82" t="s">
        <v>1718</v>
      </c>
      <c r="E639" s="82" t="s">
        <v>1719</v>
      </c>
      <c r="F639" s="82" t="s">
        <v>1730</v>
      </c>
      <c r="G639" s="82" t="s">
        <v>1721</v>
      </c>
      <c r="H639" s="82" t="s">
        <v>1722</v>
      </c>
      <c r="I639" s="41"/>
      <c r="J639" s="82" t="s">
        <v>1723</v>
      </c>
      <c r="K639" s="82" t="s">
        <v>1724</v>
      </c>
      <c r="L639" s="82" t="s">
        <v>2199</v>
      </c>
      <c r="M639" s="83" t="s">
        <v>2736</v>
      </c>
      <c r="N639" s="74" t="b">
        <v>0</v>
      </c>
      <c r="O639" s="74" t="b">
        <v>0</v>
      </c>
      <c r="P639" s="74" t="b">
        <v>0</v>
      </c>
      <c r="Q639" s="82" t="s">
        <v>341</v>
      </c>
      <c r="R639" s="83" t="s">
        <v>2338</v>
      </c>
      <c r="S639" s="82" t="s">
        <v>1728</v>
      </c>
      <c r="T639" s="41"/>
      <c r="U639" s="41"/>
      <c r="V639" s="41"/>
      <c r="W639" s="41"/>
      <c r="X639" s="41"/>
      <c r="Y639" s="41"/>
      <c r="Z639" s="41"/>
      <c r="AA639" s="41"/>
      <c r="AB639" s="41"/>
      <c r="AC639" s="41"/>
    </row>
    <row r="640" ht="15.75" customHeight="1">
      <c r="A640" s="82" t="s">
        <v>123</v>
      </c>
      <c r="B640" s="82" t="s">
        <v>2737</v>
      </c>
      <c r="C640" s="82" t="s">
        <v>2335</v>
      </c>
      <c r="D640" s="82" t="s">
        <v>1718</v>
      </c>
      <c r="E640" s="82" t="s">
        <v>1719</v>
      </c>
      <c r="F640" s="82" t="s">
        <v>1730</v>
      </c>
      <c r="G640" s="82" t="s">
        <v>1721</v>
      </c>
      <c r="H640" s="82" t="s">
        <v>1722</v>
      </c>
      <c r="I640" s="41"/>
      <c r="J640" s="82" t="s">
        <v>1723</v>
      </c>
      <c r="K640" s="82" t="s">
        <v>1724</v>
      </c>
      <c r="L640" s="82" t="s">
        <v>2199</v>
      </c>
      <c r="M640" s="83" t="s">
        <v>2738</v>
      </c>
      <c r="N640" s="74" t="b">
        <v>0</v>
      </c>
      <c r="O640" s="74" t="b">
        <v>0</v>
      </c>
      <c r="P640" s="74" t="b">
        <v>0</v>
      </c>
      <c r="Q640" s="82" t="s">
        <v>341</v>
      </c>
      <c r="R640" s="83" t="s">
        <v>2338</v>
      </c>
      <c r="S640" s="82" t="s">
        <v>1728</v>
      </c>
      <c r="T640" s="41"/>
      <c r="U640" s="41"/>
      <c r="V640" s="41"/>
      <c r="W640" s="41"/>
      <c r="X640" s="41"/>
      <c r="Y640" s="41"/>
      <c r="Z640" s="41"/>
      <c r="AA640" s="41"/>
      <c r="AB640" s="41"/>
      <c r="AC640" s="41"/>
    </row>
    <row r="641" ht="15.75" customHeight="1">
      <c r="A641" s="82" t="s">
        <v>123</v>
      </c>
      <c r="B641" s="82" t="s">
        <v>2739</v>
      </c>
      <c r="C641" s="82" t="s">
        <v>2335</v>
      </c>
      <c r="D641" s="82" t="s">
        <v>1718</v>
      </c>
      <c r="E641" s="82" t="s">
        <v>1719</v>
      </c>
      <c r="F641" s="82" t="s">
        <v>1730</v>
      </c>
      <c r="G641" s="82" t="s">
        <v>1721</v>
      </c>
      <c r="H641" s="82" t="s">
        <v>1722</v>
      </c>
      <c r="I641" s="41"/>
      <c r="J641" s="82" t="s">
        <v>1723</v>
      </c>
      <c r="K641" s="82" t="s">
        <v>1724</v>
      </c>
      <c r="L641" s="82" t="s">
        <v>2199</v>
      </c>
      <c r="M641" s="83" t="s">
        <v>2740</v>
      </c>
      <c r="N641" s="74" t="b">
        <v>0</v>
      </c>
      <c r="O641" s="74" t="b">
        <v>0</v>
      </c>
      <c r="P641" s="74" t="b">
        <v>0</v>
      </c>
      <c r="Q641" s="82" t="s">
        <v>341</v>
      </c>
      <c r="R641" s="83" t="s">
        <v>2338</v>
      </c>
      <c r="S641" s="82" t="s">
        <v>1728</v>
      </c>
      <c r="T641" s="41"/>
      <c r="U641" s="41"/>
      <c r="V641" s="41"/>
      <c r="W641" s="41"/>
      <c r="X641" s="41"/>
      <c r="Y641" s="41"/>
      <c r="Z641" s="41"/>
      <c r="AA641" s="41"/>
      <c r="AB641" s="41"/>
      <c r="AC641" s="41"/>
    </row>
    <row r="642" ht="15.75" customHeight="1">
      <c r="A642" s="82" t="s">
        <v>123</v>
      </c>
      <c r="B642" s="82" t="s">
        <v>2741</v>
      </c>
      <c r="C642" s="82" t="s">
        <v>2742</v>
      </c>
      <c r="D642" s="82" t="s">
        <v>1718</v>
      </c>
      <c r="E642" s="82" t="s">
        <v>1719</v>
      </c>
      <c r="F642" s="82" t="s">
        <v>1720</v>
      </c>
      <c r="G642" s="82" t="s">
        <v>1721</v>
      </c>
      <c r="H642" s="82" t="s">
        <v>1722</v>
      </c>
      <c r="I642" s="41"/>
      <c r="J642" s="82" t="s">
        <v>1723</v>
      </c>
      <c r="K642" s="82" t="s">
        <v>1724</v>
      </c>
      <c r="L642" s="82" t="s">
        <v>2743</v>
      </c>
      <c r="M642" s="83" t="s">
        <v>2744</v>
      </c>
      <c r="N642" s="74" t="b">
        <v>0</v>
      </c>
      <c r="O642" s="74" t="b">
        <v>0</v>
      </c>
      <c r="P642" s="74" t="b">
        <v>0</v>
      </c>
      <c r="Q642" s="82" t="s">
        <v>341</v>
      </c>
      <c r="R642" s="83" t="s">
        <v>2338</v>
      </c>
      <c r="S642" s="82" t="s">
        <v>1728</v>
      </c>
      <c r="T642" s="41"/>
      <c r="U642" s="41"/>
      <c r="V642" s="41"/>
      <c r="W642" s="41"/>
      <c r="X642" s="41"/>
      <c r="Y642" s="41"/>
      <c r="Z642" s="41"/>
      <c r="AA642" s="41"/>
      <c r="AB642" s="41"/>
      <c r="AC642" s="41"/>
    </row>
    <row r="643" ht="15.75" customHeight="1">
      <c r="A643" s="82" t="s">
        <v>123</v>
      </c>
      <c r="B643" s="82" t="s">
        <v>2745</v>
      </c>
      <c r="C643" s="82" t="s">
        <v>2742</v>
      </c>
      <c r="D643" s="82" t="s">
        <v>1718</v>
      </c>
      <c r="E643" s="82" t="s">
        <v>1719</v>
      </c>
      <c r="F643" s="82" t="s">
        <v>1720</v>
      </c>
      <c r="G643" s="82" t="s">
        <v>1721</v>
      </c>
      <c r="H643" s="82" t="s">
        <v>1722</v>
      </c>
      <c r="I643" s="41"/>
      <c r="J643" s="82" t="s">
        <v>1723</v>
      </c>
      <c r="K643" s="82" t="s">
        <v>1724</v>
      </c>
      <c r="L643" s="82" t="s">
        <v>2746</v>
      </c>
      <c r="M643" s="83" t="s">
        <v>2747</v>
      </c>
      <c r="N643" s="74" t="b">
        <v>0</v>
      </c>
      <c r="O643" s="74" t="b">
        <v>0</v>
      </c>
      <c r="P643" s="74" t="b">
        <v>0</v>
      </c>
      <c r="Q643" s="82" t="s">
        <v>341</v>
      </c>
      <c r="R643" s="83" t="s">
        <v>2338</v>
      </c>
      <c r="S643" s="82" t="s">
        <v>1728</v>
      </c>
      <c r="T643" s="41"/>
      <c r="U643" s="41"/>
      <c r="V643" s="41"/>
      <c r="W643" s="41"/>
      <c r="X643" s="41"/>
      <c r="Y643" s="41"/>
      <c r="Z643" s="41"/>
      <c r="AA643" s="41"/>
      <c r="AB643" s="41"/>
      <c r="AC643" s="41"/>
    </row>
    <row r="644" ht="15.75" customHeight="1">
      <c r="A644" s="82" t="s">
        <v>123</v>
      </c>
      <c r="B644" s="82" t="s">
        <v>2748</v>
      </c>
      <c r="C644" s="82" t="s">
        <v>2749</v>
      </c>
      <c r="D644" s="82" t="s">
        <v>1718</v>
      </c>
      <c r="E644" s="82" t="s">
        <v>1719</v>
      </c>
      <c r="F644" s="82" t="s">
        <v>1720</v>
      </c>
      <c r="G644" s="82" t="s">
        <v>1721</v>
      </c>
      <c r="H644" s="82" t="s">
        <v>1722</v>
      </c>
      <c r="I644" s="41"/>
      <c r="J644" s="82" t="s">
        <v>1723</v>
      </c>
      <c r="K644" s="82" t="s">
        <v>1724</v>
      </c>
      <c r="L644" s="82" t="s">
        <v>2750</v>
      </c>
      <c r="M644" s="83" t="s">
        <v>2751</v>
      </c>
      <c r="N644" s="74" t="b">
        <v>0</v>
      </c>
      <c r="O644" s="74" t="b">
        <v>0</v>
      </c>
      <c r="P644" s="74" t="b">
        <v>0</v>
      </c>
      <c r="Q644" s="82" t="s">
        <v>341</v>
      </c>
      <c r="R644" s="83" t="s">
        <v>2338</v>
      </c>
      <c r="S644" s="82" t="s">
        <v>1728</v>
      </c>
      <c r="T644" s="41"/>
      <c r="U644" s="41"/>
      <c r="V644" s="41"/>
      <c r="W644" s="41"/>
      <c r="X644" s="41"/>
      <c r="Y644" s="41"/>
      <c r="Z644" s="41"/>
      <c r="AA644" s="41"/>
      <c r="AB644" s="41"/>
      <c r="AC644" s="41"/>
    </row>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sheetData>
  <autoFilter ref="$A$1:$V$786">
    <sortState ref="A1:V786">
      <sortCondition ref="T1:T786"/>
    </sortState>
  </autoFilter>
  <hyperlinks>
    <hyperlink r:id="rId1" ref="I25"/>
    <hyperlink r:id="rId2" ref="B41"/>
    <hyperlink r:id="rId3" ref="M53"/>
    <hyperlink r:id="rId4" ref="W53"/>
    <hyperlink r:id="rId5" ref="B54"/>
    <hyperlink r:id="rId6" ref="M54"/>
    <hyperlink r:id="rId7" ref="M55"/>
    <hyperlink r:id="rId8" ref="M56"/>
    <hyperlink r:id="rId9" ref="I57"/>
    <hyperlink r:id="rId10" ref="M57"/>
    <hyperlink r:id="rId11" ref="R57"/>
    <hyperlink r:id="rId12" ref="I58"/>
    <hyperlink r:id="rId13" ref="M58"/>
    <hyperlink r:id="rId14" ref="R58"/>
    <hyperlink r:id="rId15" ref="I59"/>
    <hyperlink r:id="rId16" ref="M59"/>
    <hyperlink r:id="rId17" ref="R59"/>
    <hyperlink r:id="rId18" ref="M60"/>
    <hyperlink r:id="rId19" ref="M62"/>
    <hyperlink r:id="rId20" ref="I64"/>
    <hyperlink r:id="rId21" ref="M64"/>
    <hyperlink r:id="rId22" ref="R64"/>
    <hyperlink r:id="rId23" ref="I65"/>
    <hyperlink r:id="rId24" ref="M65"/>
    <hyperlink r:id="rId25" ref="R65"/>
    <hyperlink r:id="rId26" ref="M67"/>
    <hyperlink r:id="rId27" ref="M68"/>
    <hyperlink r:id="rId28" ref="M69"/>
    <hyperlink r:id="rId29" ref="M70"/>
    <hyperlink r:id="rId30" ref="M72"/>
    <hyperlink r:id="rId31" ref="M73"/>
    <hyperlink r:id="rId32" ref="M74"/>
    <hyperlink r:id="rId33" ref="M75"/>
    <hyperlink r:id="rId34" ref="M76"/>
    <hyperlink r:id="rId35" ref="M77"/>
    <hyperlink r:id="rId36" ref="M78"/>
    <hyperlink r:id="rId37" ref="M79"/>
    <hyperlink r:id="rId38" ref="M80"/>
    <hyperlink r:id="rId39" ref="M82"/>
    <hyperlink r:id="rId40" ref="M83"/>
    <hyperlink r:id="rId41" ref="M84"/>
    <hyperlink r:id="rId42" ref="M85"/>
    <hyperlink r:id="rId43" ref="M88"/>
    <hyperlink r:id="rId44" ref="M89"/>
    <hyperlink r:id="rId45" ref="M90"/>
    <hyperlink r:id="rId46" ref="M91"/>
    <hyperlink r:id="rId47" ref="M93"/>
    <hyperlink r:id="rId48" ref="M94"/>
    <hyperlink r:id="rId49" ref="M95"/>
    <hyperlink r:id="rId50" ref="M96"/>
    <hyperlink r:id="rId51" ref="M97"/>
    <hyperlink r:id="rId52" ref="M98"/>
    <hyperlink r:id="rId53" ref="M99"/>
    <hyperlink r:id="rId54" ref="M100"/>
    <hyperlink r:id="rId55" ref="M101"/>
    <hyperlink r:id="rId56" ref="M102"/>
    <hyperlink r:id="rId57" ref="M103"/>
    <hyperlink r:id="rId58" ref="M104"/>
    <hyperlink r:id="rId59" ref="M105"/>
    <hyperlink r:id="rId60" ref="M106"/>
    <hyperlink r:id="rId61" ref="M107"/>
    <hyperlink r:id="rId62" ref="M112"/>
    <hyperlink r:id="rId63" ref="R112"/>
    <hyperlink r:id="rId64" ref="M113"/>
    <hyperlink r:id="rId65" ref="R113"/>
    <hyperlink r:id="rId66" ref="M115"/>
    <hyperlink r:id="rId67" ref="M117"/>
    <hyperlink r:id="rId68" ref="M118"/>
    <hyperlink r:id="rId69" ref="M119"/>
    <hyperlink r:id="rId70" ref="M120"/>
    <hyperlink r:id="rId71" ref="M121"/>
    <hyperlink r:id="rId72" ref="M124"/>
    <hyperlink r:id="rId73" ref="M125"/>
    <hyperlink r:id="rId74" ref="M126"/>
    <hyperlink r:id="rId75" ref="M127"/>
    <hyperlink r:id="rId76" ref="M128"/>
    <hyperlink r:id="rId77" ref="M129"/>
    <hyperlink r:id="rId78" ref="M130"/>
    <hyperlink r:id="rId79" ref="M131"/>
    <hyperlink r:id="rId80" ref="M132"/>
    <hyperlink r:id="rId81" ref="M133"/>
    <hyperlink r:id="rId82" ref="M134"/>
    <hyperlink r:id="rId83" ref="M135"/>
    <hyperlink r:id="rId84" ref="M137"/>
    <hyperlink r:id="rId85" ref="M138"/>
    <hyperlink r:id="rId86" ref="M139"/>
    <hyperlink r:id="rId87" ref="M140"/>
    <hyperlink r:id="rId88" ref="M141"/>
    <hyperlink r:id="rId89" ref="M142"/>
    <hyperlink r:id="rId90" ref="M143"/>
    <hyperlink r:id="rId91" ref="M144"/>
    <hyperlink r:id="rId92" ref="M145"/>
    <hyperlink r:id="rId93" ref="M148"/>
    <hyperlink r:id="rId94" ref="M150"/>
    <hyperlink r:id="rId95" ref="M151"/>
    <hyperlink r:id="rId96" ref="M152"/>
    <hyperlink r:id="rId97" ref="M153"/>
    <hyperlink r:id="rId98" ref="M154"/>
    <hyperlink r:id="rId99" ref="M155"/>
    <hyperlink r:id="rId100" ref="M156"/>
    <hyperlink r:id="rId101" ref="M165"/>
    <hyperlink r:id="rId102" ref="M166"/>
    <hyperlink r:id="rId103" ref="M168"/>
    <hyperlink r:id="rId104" ref="M169"/>
    <hyperlink r:id="rId105" ref="M170"/>
    <hyperlink r:id="rId106" ref="M183"/>
    <hyperlink r:id="rId107" ref="M184"/>
    <hyperlink r:id="rId108" ref="M185"/>
    <hyperlink r:id="rId109" ref="M186"/>
    <hyperlink r:id="rId110" ref="M204"/>
    <hyperlink r:id="rId111" ref="M205"/>
    <hyperlink r:id="rId112" ref="M206"/>
    <hyperlink r:id="rId113" ref="M211"/>
    <hyperlink r:id="rId114" ref="M212"/>
    <hyperlink r:id="rId115" ref="M213"/>
    <hyperlink r:id="rId116" ref="M214"/>
    <hyperlink r:id="rId117" ref="M215"/>
    <hyperlink r:id="rId118" ref="M216"/>
    <hyperlink r:id="rId119" ref="M217"/>
    <hyperlink r:id="rId120" ref="M218"/>
    <hyperlink r:id="rId121" ref="M219"/>
    <hyperlink r:id="rId122" ref="M220"/>
    <hyperlink r:id="rId123" ref="M221"/>
    <hyperlink r:id="rId124" ref="M222"/>
    <hyperlink r:id="rId125" ref="M223"/>
    <hyperlink r:id="rId126" ref="M224"/>
    <hyperlink r:id="rId127" ref="M225"/>
    <hyperlink r:id="rId128" ref="M227"/>
    <hyperlink r:id="rId129" ref="M228"/>
    <hyperlink r:id="rId130" ref="M229"/>
    <hyperlink r:id="rId131" ref="M230"/>
    <hyperlink r:id="rId132" ref="M231"/>
    <hyperlink r:id="rId133" ref="I232"/>
    <hyperlink r:id="rId134" ref="M232"/>
    <hyperlink r:id="rId135" ref="R232"/>
    <hyperlink r:id="rId136" ref="I233"/>
    <hyperlink r:id="rId137" ref="M233"/>
    <hyperlink r:id="rId138" ref="R233"/>
    <hyperlink r:id="rId139" ref="I234"/>
    <hyperlink r:id="rId140" ref="M234"/>
    <hyperlink r:id="rId141" ref="R234"/>
    <hyperlink r:id="rId142" ref="I235"/>
    <hyperlink r:id="rId143" ref="M235"/>
    <hyperlink r:id="rId144" ref="R235"/>
    <hyperlink r:id="rId145" ref="I236"/>
    <hyperlink r:id="rId146" ref="M236"/>
    <hyperlink r:id="rId147" ref="R236"/>
    <hyperlink r:id="rId148" ref="I237"/>
    <hyperlink r:id="rId149" ref="M237"/>
    <hyperlink r:id="rId150" ref="R237"/>
    <hyperlink r:id="rId151" ref="I238"/>
    <hyperlink r:id="rId152" ref="M238"/>
    <hyperlink r:id="rId153" ref="R238"/>
    <hyperlink r:id="rId154" ref="I239"/>
    <hyperlink r:id="rId155" ref="M239"/>
    <hyperlink r:id="rId156" ref="R239"/>
    <hyperlink r:id="rId157" ref="I240"/>
    <hyperlink r:id="rId158" ref="M240"/>
    <hyperlink r:id="rId159" ref="R240"/>
    <hyperlink r:id="rId160" ref="I241"/>
    <hyperlink r:id="rId161" ref="M241"/>
    <hyperlink r:id="rId162" ref="R241"/>
    <hyperlink r:id="rId163" ref="I242"/>
    <hyperlink r:id="rId164" ref="M242"/>
    <hyperlink r:id="rId165" ref="R242"/>
    <hyperlink r:id="rId166" ref="I243"/>
    <hyperlink r:id="rId167" ref="M243"/>
    <hyperlink r:id="rId168" ref="R243"/>
    <hyperlink r:id="rId169" ref="I245"/>
    <hyperlink r:id="rId170" ref="M245"/>
    <hyperlink r:id="rId171" ref="R245"/>
    <hyperlink r:id="rId172" ref="I246"/>
    <hyperlink r:id="rId173" ref="M246"/>
    <hyperlink r:id="rId174" ref="R246"/>
    <hyperlink r:id="rId175" ref="I247"/>
    <hyperlink r:id="rId176" ref="M247"/>
    <hyperlink r:id="rId177" ref="R247"/>
    <hyperlink r:id="rId178" ref="I248"/>
    <hyperlink r:id="rId179" ref="M248"/>
    <hyperlink r:id="rId180" ref="R248"/>
    <hyperlink r:id="rId181" ref="I249"/>
    <hyperlink r:id="rId182" ref="M249"/>
    <hyperlink r:id="rId183" ref="R249"/>
    <hyperlink r:id="rId184" ref="I250"/>
    <hyperlink r:id="rId185" ref="M250"/>
    <hyperlink r:id="rId186" ref="R250"/>
    <hyperlink r:id="rId187" ref="I251"/>
    <hyperlink r:id="rId188" ref="M251"/>
    <hyperlink r:id="rId189" ref="R251"/>
    <hyperlink r:id="rId190" ref="I252"/>
    <hyperlink r:id="rId191" ref="M252"/>
    <hyperlink r:id="rId192" ref="R252"/>
    <hyperlink r:id="rId193" ref="I253"/>
    <hyperlink r:id="rId194" ref="M253"/>
    <hyperlink r:id="rId195" ref="R253"/>
    <hyperlink r:id="rId196" ref="M254"/>
    <hyperlink r:id="rId197" ref="R254"/>
    <hyperlink r:id="rId198" ref="M255"/>
    <hyperlink r:id="rId199" ref="R255"/>
    <hyperlink r:id="rId200" ref="M256"/>
    <hyperlink r:id="rId201" ref="R256"/>
    <hyperlink r:id="rId202" ref="M257"/>
    <hyperlink r:id="rId203" ref="R257"/>
    <hyperlink r:id="rId204" ref="M258"/>
    <hyperlink r:id="rId205" ref="R258"/>
    <hyperlink r:id="rId206" ref="M259"/>
    <hyperlink r:id="rId207" ref="R259"/>
    <hyperlink r:id="rId208" ref="M260"/>
    <hyperlink r:id="rId209" ref="R260"/>
    <hyperlink r:id="rId210" ref="M261"/>
    <hyperlink r:id="rId211" ref="R261"/>
    <hyperlink r:id="rId212" ref="M262"/>
    <hyperlink r:id="rId213" ref="R262"/>
    <hyperlink r:id="rId214" ref="M263"/>
    <hyperlink r:id="rId215" ref="R263"/>
    <hyperlink r:id="rId216" ref="M264"/>
    <hyperlink r:id="rId217" ref="R264"/>
    <hyperlink r:id="rId218" ref="M265"/>
    <hyperlink r:id="rId219" ref="R265"/>
    <hyperlink r:id="rId220" ref="M266"/>
    <hyperlink r:id="rId221" ref="R266"/>
    <hyperlink r:id="rId222" ref="M267"/>
    <hyperlink r:id="rId223" ref="R267"/>
    <hyperlink r:id="rId224" ref="M268"/>
    <hyperlink r:id="rId225" ref="R268"/>
    <hyperlink r:id="rId226" ref="M269"/>
    <hyperlink r:id="rId227" ref="R269"/>
    <hyperlink r:id="rId228" ref="M270"/>
    <hyperlink r:id="rId229" ref="R270"/>
    <hyperlink r:id="rId230" ref="M271"/>
    <hyperlink r:id="rId231" ref="R271"/>
    <hyperlink r:id="rId232" ref="M272"/>
    <hyperlink r:id="rId233" ref="R272"/>
    <hyperlink r:id="rId234" ref="M273"/>
    <hyperlink r:id="rId235" ref="R273"/>
    <hyperlink r:id="rId236" ref="M274"/>
    <hyperlink r:id="rId237" ref="R274"/>
    <hyperlink r:id="rId238" ref="M275"/>
    <hyperlink r:id="rId239" ref="R275"/>
    <hyperlink r:id="rId240" ref="M276"/>
    <hyperlink r:id="rId241" ref="R276"/>
    <hyperlink r:id="rId242" ref="M277"/>
    <hyperlink r:id="rId243" ref="R277"/>
    <hyperlink r:id="rId244" ref="M278"/>
    <hyperlink r:id="rId245" ref="R278"/>
    <hyperlink r:id="rId246" ref="M279"/>
    <hyperlink r:id="rId247" ref="R279"/>
    <hyperlink r:id="rId248" ref="M280"/>
    <hyperlink r:id="rId249" ref="R280"/>
    <hyperlink r:id="rId250" ref="M281"/>
    <hyperlink r:id="rId251" ref="R281"/>
    <hyperlink r:id="rId252" ref="M282"/>
    <hyperlink r:id="rId253" ref="R282"/>
    <hyperlink r:id="rId254" ref="M283"/>
    <hyperlink r:id="rId255" ref="R283"/>
    <hyperlink r:id="rId256" ref="M284"/>
    <hyperlink r:id="rId257" ref="R284"/>
    <hyperlink r:id="rId258" ref="M285"/>
    <hyperlink r:id="rId259" ref="R285"/>
    <hyperlink r:id="rId260" ref="M286"/>
    <hyperlink r:id="rId261" ref="R286"/>
    <hyperlink r:id="rId262" ref="M287"/>
    <hyperlink r:id="rId263" ref="R287"/>
    <hyperlink r:id="rId264" ref="M288"/>
    <hyperlink r:id="rId265" ref="R288"/>
    <hyperlink r:id="rId266" ref="M289"/>
    <hyperlink r:id="rId267" ref="R289"/>
    <hyperlink r:id="rId268" ref="M290"/>
    <hyperlink r:id="rId269" ref="R290"/>
    <hyperlink r:id="rId270" ref="M291"/>
    <hyperlink r:id="rId271" ref="R291"/>
    <hyperlink r:id="rId272" ref="M292"/>
    <hyperlink r:id="rId273" ref="R292"/>
    <hyperlink r:id="rId274" ref="M293"/>
    <hyperlink r:id="rId275" ref="R293"/>
    <hyperlink r:id="rId276" ref="M294"/>
    <hyperlink r:id="rId277" ref="R294"/>
    <hyperlink r:id="rId278" ref="M295"/>
    <hyperlink r:id="rId279" ref="R295"/>
    <hyperlink r:id="rId280" ref="M296"/>
    <hyperlink r:id="rId281" ref="R296"/>
    <hyperlink r:id="rId282" ref="M297"/>
    <hyperlink r:id="rId283" ref="R297"/>
    <hyperlink r:id="rId284" ref="M298"/>
    <hyperlink r:id="rId285" ref="R298"/>
    <hyperlink r:id="rId286" ref="M299"/>
    <hyperlink r:id="rId287" ref="R299"/>
    <hyperlink r:id="rId288" ref="M300"/>
    <hyperlink r:id="rId289" ref="R300"/>
    <hyperlink r:id="rId290" ref="M301"/>
    <hyperlink r:id="rId291" ref="R301"/>
    <hyperlink r:id="rId292" ref="M302"/>
    <hyperlink r:id="rId293" ref="R302"/>
    <hyperlink r:id="rId294" ref="M303"/>
    <hyperlink r:id="rId295" ref="R303"/>
    <hyperlink r:id="rId296" ref="M304"/>
    <hyperlink r:id="rId297" ref="R304"/>
    <hyperlink r:id="rId298" ref="M305"/>
    <hyperlink r:id="rId299" ref="R305"/>
    <hyperlink r:id="rId300" ref="M306"/>
    <hyperlink r:id="rId301" ref="R306"/>
    <hyperlink r:id="rId302" ref="M307"/>
    <hyperlink r:id="rId303" ref="R307"/>
    <hyperlink r:id="rId304" ref="M308"/>
    <hyperlink r:id="rId305" ref="R308"/>
    <hyperlink r:id="rId306" ref="M309"/>
    <hyperlink r:id="rId307" ref="R309"/>
    <hyperlink r:id="rId308" ref="M310"/>
    <hyperlink r:id="rId309" ref="R310"/>
    <hyperlink r:id="rId310" ref="M311"/>
    <hyperlink r:id="rId311" ref="R311"/>
    <hyperlink r:id="rId312" ref="M312"/>
    <hyperlink r:id="rId313" ref="R312"/>
    <hyperlink r:id="rId314" ref="M313"/>
    <hyperlink r:id="rId315" ref="R313"/>
    <hyperlink r:id="rId316" ref="M314"/>
    <hyperlink r:id="rId317" ref="R314"/>
    <hyperlink r:id="rId318" ref="M315"/>
    <hyperlink r:id="rId319" ref="R315"/>
    <hyperlink r:id="rId320" ref="M316"/>
    <hyperlink r:id="rId321" ref="R316"/>
    <hyperlink r:id="rId322" ref="M317"/>
    <hyperlink r:id="rId323" ref="R317"/>
    <hyperlink r:id="rId324" ref="M318"/>
    <hyperlink r:id="rId325" ref="R318"/>
    <hyperlink r:id="rId326" ref="M319"/>
    <hyperlink r:id="rId327" ref="R319"/>
    <hyperlink r:id="rId328" ref="M320"/>
    <hyperlink r:id="rId329" ref="R320"/>
    <hyperlink r:id="rId330" ref="M321"/>
    <hyperlink r:id="rId331" ref="R321"/>
    <hyperlink r:id="rId332" ref="M322"/>
    <hyperlink r:id="rId333" ref="R322"/>
    <hyperlink r:id="rId334" ref="M323"/>
    <hyperlink r:id="rId335" ref="R323"/>
    <hyperlink r:id="rId336" ref="M324"/>
    <hyperlink r:id="rId337" ref="R324"/>
    <hyperlink r:id="rId338" ref="M325"/>
    <hyperlink r:id="rId339" ref="R325"/>
    <hyperlink r:id="rId340" ref="M326"/>
    <hyperlink r:id="rId341" ref="R326"/>
    <hyperlink r:id="rId342" ref="M327"/>
    <hyperlink r:id="rId343" ref="R327"/>
    <hyperlink r:id="rId344" ref="M328"/>
    <hyperlink r:id="rId345" ref="R328"/>
    <hyperlink r:id="rId346" ref="M329"/>
    <hyperlink r:id="rId347" ref="R329"/>
    <hyperlink r:id="rId348" ref="M330"/>
    <hyperlink r:id="rId349" ref="R330"/>
    <hyperlink r:id="rId350" ref="M331"/>
    <hyperlink r:id="rId351" ref="R331"/>
    <hyperlink r:id="rId352" ref="M332"/>
    <hyperlink r:id="rId353" ref="R332"/>
    <hyperlink r:id="rId354" ref="M333"/>
    <hyperlink r:id="rId355" ref="R333"/>
    <hyperlink r:id="rId356" ref="M334"/>
    <hyperlink r:id="rId357" ref="R334"/>
    <hyperlink r:id="rId358" ref="M335"/>
    <hyperlink r:id="rId359" ref="R335"/>
    <hyperlink r:id="rId360" ref="M336"/>
    <hyperlink r:id="rId361" ref="R336"/>
    <hyperlink r:id="rId362" ref="M337"/>
    <hyperlink r:id="rId363" ref="R337"/>
    <hyperlink r:id="rId364" ref="M338"/>
    <hyperlink r:id="rId365" ref="R338"/>
    <hyperlink r:id="rId366" ref="M339"/>
    <hyperlink r:id="rId367" ref="R339"/>
    <hyperlink r:id="rId368" ref="M340"/>
    <hyperlink r:id="rId369" ref="R340"/>
    <hyperlink r:id="rId370" ref="M341"/>
    <hyperlink r:id="rId371" ref="R341"/>
    <hyperlink r:id="rId372" ref="M342"/>
    <hyperlink r:id="rId373" ref="R342"/>
    <hyperlink r:id="rId374" ref="M343"/>
    <hyperlink r:id="rId375" ref="R343"/>
    <hyperlink r:id="rId376" ref="M344"/>
    <hyperlink r:id="rId377" ref="R344"/>
    <hyperlink r:id="rId378" ref="M345"/>
    <hyperlink r:id="rId379" ref="R345"/>
    <hyperlink r:id="rId380" ref="M346"/>
    <hyperlink r:id="rId381" ref="R346"/>
    <hyperlink r:id="rId382" ref="M347"/>
    <hyperlink r:id="rId383" ref="R347"/>
    <hyperlink r:id="rId384" ref="M348"/>
    <hyperlink r:id="rId385" ref="R348"/>
    <hyperlink r:id="rId386" ref="M349"/>
    <hyperlink r:id="rId387" ref="R349"/>
    <hyperlink r:id="rId388" ref="M350"/>
    <hyperlink r:id="rId389" ref="R350"/>
    <hyperlink r:id="rId390" ref="M351"/>
    <hyperlink r:id="rId391" ref="R351"/>
    <hyperlink r:id="rId392" ref="M352"/>
    <hyperlink r:id="rId393" ref="R352"/>
    <hyperlink r:id="rId394" ref="M353"/>
    <hyperlink r:id="rId395" ref="R353"/>
    <hyperlink r:id="rId396" ref="M354"/>
    <hyperlink r:id="rId397" ref="R354"/>
    <hyperlink r:id="rId398" ref="M355"/>
    <hyperlink r:id="rId399" ref="R355"/>
    <hyperlink r:id="rId400" ref="M356"/>
    <hyperlink r:id="rId401" ref="R356"/>
    <hyperlink r:id="rId402" ref="M357"/>
    <hyperlink r:id="rId403" ref="R357"/>
    <hyperlink r:id="rId404" ref="M358"/>
    <hyperlink r:id="rId405" ref="R358"/>
    <hyperlink r:id="rId406" ref="M359"/>
    <hyperlink r:id="rId407" ref="R359"/>
    <hyperlink r:id="rId408" ref="M360"/>
    <hyperlink r:id="rId409" ref="R360"/>
    <hyperlink r:id="rId410" ref="M361"/>
    <hyperlink r:id="rId411" ref="R361"/>
    <hyperlink r:id="rId412" ref="M362"/>
    <hyperlink r:id="rId413" ref="R362"/>
    <hyperlink r:id="rId414" ref="M363"/>
    <hyperlink r:id="rId415" ref="R363"/>
    <hyperlink r:id="rId416" ref="M364"/>
    <hyperlink r:id="rId417" ref="R364"/>
    <hyperlink r:id="rId418" ref="M365"/>
    <hyperlink r:id="rId419" ref="R365"/>
    <hyperlink r:id="rId420" ref="M366"/>
    <hyperlink r:id="rId421" ref="R366"/>
    <hyperlink r:id="rId422" ref="M367"/>
    <hyperlink r:id="rId423" ref="R367"/>
    <hyperlink r:id="rId424" ref="M368"/>
    <hyperlink r:id="rId425" ref="R368"/>
    <hyperlink r:id="rId426" ref="M369"/>
    <hyperlink r:id="rId427" ref="R369"/>
    <hyperlink r:id="rId428" ref="M370"/>
    <hyperlink r:id="rId429" ref="R370"/>
    <hyperlink r:id="rId430" ref="M371"/>
    <hyperlink r:id="rId431" ref="R371"/>
    <hyperlink r:id="rId432" ref="M372"/>
    <hyperlink r:id="rId433" ref="R372"/>
    <hyperlink r:id="rId434" ref="M373"/>
    <hyperlink r:id="rId435" ref="R373"/>
    <hyperlink r:id="rId436" ref="M374"/>
    <hyperlink r:id="rId437" ref="R374"/>
    <hyperlink r:id="rId438" ref="M375"/>
    <hyperlink r:id="rId439" ref="R375"/>
    <hyperlink r:id="rId440" ref="M376"/>
    <hyperlink r:id="rId441" ref="R376"/>
    <hyperlink r:id="rId442" ref="M377"/>
    <hyperlink r:id="rId443" ref="R377"/>
    <hyperlink r:id="rId444" ref="M378"/>
    <hyperlink r:id="rId445" ref="R378"/>
    <hyperlink r:id="rId446" ref="M379"/>
    <hyperlink r:id="rId447" ref="R379"/>
    <hyperlink r:id="rId448" ref="M380"/>
    <hyperlink r:id="rId449" ref="R380"/>
    <hyperlink r:id="rId450" ref="M381"/>
    <hyperlink r:id="rId451" ref="R381"/>
    <hyperlink r:id="rId452" ref="M382"/>
    <hyperlink r:id="rId453" ref="R382"/>
    <hyperlink r:id="rId454" ref="M383"/>
    <hyperlink r:id="rId455" ref="R383"/>
    <hyperlink r:id="rId456" ref="M384"/>
    <hyperlink r:id="rId457" ref="R384"/>
    <hyperlink r:id="rId458" ref="M385"/>
    <hyperlink r:id="rId459" ref="R385"/>
    <hyperlink r:id="rId460" ref="M386"/>
    <hyperlink r:id="rId461" ref="R386"/>
    <hyperlink r:id="rId462" ref="M387"/>
    <hyperlink r:id="rId463" ref="R387"/>
    <hyperlink r:id="rId464" ref="M388"/>
    <hyperlink r:id="rId465" ref="R388"/>
    <hyperlink r:id="rId466" ref="M389"/>
    <hyperlink r:id="rId467" ref="R389"/>
    <hyperlink r:id="rId468" ref="M390"/>
    <hyperlink r:id="rId469" ref="R390"/>
    <hyperlink r:id="rId470" ref="M391"/>
    <hyperlink r:id="rId471" ref="R391"/>
    <hyperlink r:id="rId472" ref="M392"/>
    <hyperlink r:id="rId473" ref="R392"/>
    <hyperlink r:id="rId474" ref="M393"/>
    <hyperlink r:id="rId475" ref="R393"/>
    <hyperlink r:id="rId476" ref="M394"/>
    <hyperlink r:id="rId477" ref="R394"/>
    <hyperlink r:id="rId478" ref="M395"/>
    <hyperlink r:id="rId479" ref="R395"/>
    <hyperlink r:id="rId480" ref="M396"/>
    <hyperlink r:id="rId481" ref="R396"/>
    <hyperlink r:id="rId482" ref="M397"/>
    <hyperlink r:id="rId483" ref="R397"/>
    <hyperlink r:id="rId484" ref="M398"/>
    <hyperlink r:id="rId485" ref="R398"/>
    <hyperlink r:id="rId486" ref="M399"/>
    <hyperlink r:id="rId487" ref="R399"/>
    <hyperlink r:id="rId488" ref="M400"/>
    <hyperlink r:id="rId489" ref="R400"/>
    <hyperlink r:id="rId490" ref="M401"/>
    <hyperlink r:id="rId491" ref="R401"/>
    <hyperlink r:id="rId492" ref="M402"/>
    <hyperlink r:id="rId493" ref="R402"/>
    <hyperlink r:id="rId494" ref="M403"/>
    <hyperlink r:id="rId495" ref="R403"/>
    <hyperlink r:id="rId496" ref="M404"/>
    <hyperlink r:id="rId497" ref="R404"/>
    <hyperlink r:id="rId498" ref="M405"/>
    <hyperlink r:id="rId499" ref="R405"/>
    <hyperlink r:id="rId500" ref="M406"/>
    <hyperlink r:id="rId501" ref="R406"/>
    <hyperlink r:id="rId502" ref="M407"/>
    <hyperlink r:id="rId503" ref="R407"/>
    <hyperlink r:id="rId504" ref="M408"/>
    <hyperlink r:id="rId505" ref="R408"/>
    <hyperlink r:id="rId506" ref="M409"/>
    <hyperlink r:id="rId507" ref="R409"/>
    <hyperlink r:id="rId508" ref="M410"/>
    <hyperlink r:id="rId509" ref="R410"/>
    <hyperlink r:id="rId510" ref="M411"/>
    <hyperlink r:id="rId511" ref="R411"/>
    <hyperlink r:id="rId512" ref="M412"/>
    <hyperlink r:id="rId513" ref="R412"/>
    <hyperlink r:id="rId514" ref="M413"/>
    <hyperlink r:id="rId515" ref="R413"/>
    <hyperlink r:id="rId516" ref="M414"/>
    <hyperlink r:id="rId517" ref="R414"/>
    <hyperlink r:id="rId518" ref="M415"/>
    <hyperlink r:id="rId519" ref="R415"/>
    <hyperlink r:id="rId520" ref="M416"/>
    <hyperlink r:id="rId521" ref="R416"/>
    <hyperlink r:id="rId522" ref="M417"/>
    <hyperlink r:id="rId523" ref="R417"/>
    <hyperlink r:id="rId524" ref="M418"/>
    <hyperlink r:id="rId525" ref="R418"/>
    <hyperlink r:id="rId526" ref="M419"/>
    <hyperlink r:id="rId527" ref="R419"/>
    <hyperlink r:id="rId528" ref="M420"/>
    <hyperlink r:id="rId529" ref="R420"/>
    <hyperlink r:id="rId530" ref="M421"/>
    <hyperlink r:id="rId531" ref="R421"/>
    <hyperlink r:id="rId532" ref="M422"/>
    <hyperlink r:id="rId533" ref="R422"/>
    <hyperlink r:id="rId534" ref="M423"/>
    <hyperlink r:id="rId535" ref="R423"/>
    <hyperlink r:id="rId536" ref="M424"/>
    <hyperlink r:id="rId537" ref="R424"/>
    <hyperlink r:id="rId538" ref="M425"/>
    <hyperlink r:id="rId539" ref="R425"/>
    <hyperlink r:id="rId540" ref="M426"/>
    <hyperlink r:id="rId541" ref="R426"/>
    <hyperlink r:id="rId542" ref="M427"/>
    <hyperlink r:id="rId543" ref="R427"/>
    <hyperlink r:id="rId544" ref="M428"/>
    <hyperlink r:id="rId545" ref="R428"/>
    <hyperlink r:id="rId546" ref="M429"/>
    <hyperlink r:id="rId547" ref="R429"/>
    <hyperlink r:id="rId548" ref="M430"/>
    <hyperlink r:id="rId549" ref="R430"/>
    <hyperlink r:id="rId550" ref="M431"/>
    <hyperlink r:id="rId551" ref="R431"/>
    <hyperlink r:id="rId552" ref="M432"/>
    <hyperlink r:id="rId553" ref="R432"/>
    <hyperlink r:id="rId554" ref="M433"/>
    <hyperlink r:id="rId555" ref="R433"/>
    <hyperlink r:id="rId556" ref="M434"/>
    <hyperlink r:id="rId557" ref="R434"/>
    <hyperlink r:id="rId558" ref="M435"/>
    <hyperlink r:id="rId559" ref="R435"/>
    <hyperlink r:id="rId560" ref="M436"/>
    <hyperlink r:id="rId561" ref="R436"/>
    <hyperlink r:id="rId562" ref="M437"/>
    <hyperlink r:id="rId563" ref="R437"/>
    <hyperlink r:id="rId564" ref="M438"/>
    <hyperlink r:id="rId565" ref="R438"/>
    <hyperlink r:id="rId566" ref="M439"/>
    <hyperlink r:id="rId567" ref="R439"/>
    <hyperlink r:id="rId568" ref="M440"/>
    <hyperlink r:id="rId569" ref="R440"/>
    <hyperlink r:id="rId570" ref="M441"/>
    <hyperlink r:id="rId571" ref="R441"/>
    <hyperlink r:id="rId572" ref="M442"/>
    <hyperlink r:id="rId573" ref="R442"/>
    <hyperlink r:id="rId574" ref="M443"/>
    <hyperlink r:id="rId575" ref="R443"/>
    <hyperlink r:id="rId576" ref="M444"/>
    <hyperlink r:id="rId577" ref="R444"/>
    <hyperlink r:id="rId578" ref="M445"/>
    <hyperlink r:id="rId579" ref="R445"/>
    <hyperlink r:id="rId580" ref="M446"/>
    <hyperlink r:id="rId581" ref="R446"/>
    <hyperlink r:id="rId582" ref="M447"/>
    <hyperlink r:id="rId583" ref="R447"/>
    <hyperlink r:id="rId584" ref="M448"/>
    <hyperlink r:id="rId585" ref="R448"/>
    <hyperlink r:id="rId586" ref="M449"/>
    <hyperlink r:id="rId587" ref="R449"/>
    <hyperlink r:id="rId588" ref="M450"/>
    <hyperlink r:id="rId589" ref="R450"/>
    <hyperlink r:id="rId590" ref="M451"/>
    <hyperlink r:id="rId591" ref="R451"/>
    <hyperlink r:id="rId592" ref="M452"/>
    <hyperlink r:id="rId593" ref="R452"/>
    <hyperlink r:id="rId594" ref="M453"/>
    <hyperlink r:id="rId595" ref="R453"/>
    <hyperlink r:id="rId596" ref="M454"/>
    <hyperlink r:id="rId597" ref="R454"/>
    <hyperlink r:id="rId598" ref="M455"/>
    <hyperlink r:id="rId599" ref="R455"/>
    <hyperlink r:id="rId600" ref="M456"/>
    <hyperlink r:id="rId601" ref="R456"/>
    <hyperlink r:id="rId602" ref="M457"/>
    <hyperlink r:id="rId603" ref="R457"/>
    <hyperlink r:id="rId604" ref="M458"/>
    <hyperlink r:id="rId605" ref="R458"/>
    <hyperlink r:id="rId606" ref="M459"/>
    <hyperlink r:id="rId607" ref="R459"/>
    <hyperlink r:id="rId608" ref="M460"/>
    <hyperlink r:id="rId609" ref="R460"/>
    <hyperlink r:id="rId610" ref="M461"/>
    <hyperlink r:id="rId611" ref="R461"/>
    <hyperlink r:id="rId612" ref="M462"/>
    <hyperlink r:id="rId613" ref="R462"/>
    <hyperlink r:id="rId614" ref="M463"/>
    <hyperlink r:id="rId615" ref="R463"/>
    <hyperlink r:id="rId616" ref="M464"/>
    <hyperlink r:id="rId617" ref="R464"/>
    <hyperlink r:id="rId618" ref="M465"/>
    <hyperlink r:id="rId619" ref="R465"/>
    <hyperlink r:id="rId620" ref="M466"/>
    <hyperlink r:id="rId621" ref="R466"/>
    <hyperlink r:id="rId622" ref="M467"/>
    <hyperlink r:id="rId623" ref="R467"/>
    <hyperlink r:id="rId624" ref="M468"/>
    <hyperlink r:id="rId625" ref="R468"/>
    <hyperlink r:id="rId626" ref="M469"/>
    <hyperlink r:id="rId627" ref="R469"/>
    <hyperlink r:id="rId628" ref="M470"/>
    <hyperlink r:id="rId629" ref="R470"/>
    <hyperlink r:id="rId630" ref="M471"/>
    <hyperlink r:id="rId631" ref="R471"/>
    <hyperlink r:id="rId632" ref="M472"/>
    <hyperlink r:id="rId633" ref="R472"/>
    <hyperlink r:id="rId634" ref="M473"/>
    <hyperlink r:id="rId635" ref="R473"/>
    <hyperlink r:id="rId636" ref="M474"/>
    <hyperlink r:id="rId637" ref="R474"/>
    <hyperlink r:id="rId638" ref="M475"/>
    <hyperlink r:id="rId639" ref="R475"/>
    <hyperlink r:id="rId640" ref="M476"/>
    <hyperlink r:id="rId641" ref="R476"/>
    <hyperlink r:id="rId642" ref="M477"/>
    <hyperlink r:id="rId643" ref="R477"/>
    <hyperlink r:id="rId644" ref="M478"/>
    <hyperlink r:id="rId645" ref="R478"/>
    <hyperlink r:id="rId646" ref="M479"/>
    <hyperlink r:id="rId647" ref="R479"/>
    <hyperlink r:id="rId648" ref="M480"/>
    <hyperlink r:id="rId649" ref="R480"/>
    <hyperlink r:id="rId650" ref="M481"/>
    <hyperlink r:id="rId651" ref="R481"/>
    <hyperlink r:id="rId652" ref="M482"/>
    <hyperlink r:id="rId653" ref="R482"/>
    <hyperlink r:id="rId654" ref="M483"/>
    <hyperlink r:id="rId655" ref="R483"/>
    <hyperlink r:id="rId656" ref="M484"/>
    <hyperlink r:id="rId657" ref="R484"/>
    <hyperlink r:id="rId658" ref="M485"/>
    <hyperlink r:id="rId659" ref="R485"/>
    <hyperlink r:id="rId660" ref="M486"/>
    <hyperlink r:id="rId661" ref="R486"/>
    <hyperlink r:id="rId662" ref="M487"/>
    <hyperlink r:id="rId663" ref="R487"/>
    <hyperlink r:id="rId664" ref="M488"/>
    <hyperlink r:id="rId665" ref="R488"/>
    <hyperlink r:id="rId666" ref="M489"/>
    <hyperlink r:id="rId667" ref="R489"/>
    <hyperlink r:id="rId668" ref="M490"/>
    <hyperlink r:id="rId669" ref="R490"/>
    <hyperlink r:id="rId670" ref="M491"/>
    <hyperlink r:id="rId671" ref="R491"/>
    <hyperlink r:id="rId672" ref="M492"/>
    <hyperlink r:id="rId673" ref="R492"/>
    <hyperlink r:id="rId674" ref="M493"/>
    <hyperlink r:id="rId675" ref="R493"/>
    <hyperlink r:id="rId676" ref="M494"/>
    <hyperlink r:id="rId677" ref="R494"/>
    <hyperlink r:id="rId678" ref="M495"/>
    <hyperlink r:id="rId679" ref="R495"/>
    <hyperlink r:id="rId680" ref="M496"/>
    <hyperlink r:id="rId681" ref="R496"/>
    <hyperlink r:id="rId682" ref="M497"/>
    <hyperlink r:id="rId683" ref="R497"/>
    <hyperlink r:id="rId684" ref="M498"/>
    <hyperlink r:id="rId685" ref="R498"/>
    <hyperlink r:id="rId686" ref="M499"/>
    <hyperlink r:id="rId687" ref="R499"/>
    <hyperlink r:id="rId688" ref="M500"/>
    <hyperlink r:id="rId689" ref="R500"/>
    <hyperlink r:id="rId690" ref="M501"/>
    <hyperlink r:id="rId691" ref="R501"/>
    <hyperlink r:id="rId692" ref="M502"/>
    <hyperlink r:id="rId693" ref="R502"/>
    <hyperlink r:id="rId694" ref="M503"/>
    <hyperlink r:id="rId695" ref="R503"/>
    <hyperlink r:id="rId696" ref="M504"/>
    <hyperlink r:id="rId697" ref="R504"/>
    <hyperlink r:id="rId698" ref="M505"/>
    <hyperlink r:id="rId699" ref="R505"/>
    <hyperlink r:id="rId700" ref="M506"/>
    <hyperlink r:id="rId701" ref="R506"/>
    <hyperlink r:id="rId702" ref="M507"/>
    <hyperlink r:id="rId703" ref="R507"/>
    <hyperlink r:id="rId704" ref="M508"/>
    <hyperlink r:id="rId705" ref="R508"/>
    <hyperlink r:id="rId706" ref="M509"/>
    <hyperlink r:id="rId707" ref="R509"/>
    <hyperlink r:id="rId708" ref="M510"/>
    <hyperlink r:id="rId709" ref="R510"/>
    <hyperlink r:id="rId710" ref="M511"/>
    <hyperlink r:id="rId711" ref="R511"/>
    <hyperlink r:id="rId712" ref="M512"/>
    <hyperlink r:id="rId713" ref="R512"/>
    <hyperlink r:id="rId714" ref="M513"/>
    <hyperlink r:id="rId715" ref="R513"/>
    <hyperlink r:id="rId716" ref="M514"/>
    <hyperlink r:id="rId717" ref="R514"/>
    <hyperlink r:id="rId718" ref="M515"/>
    <hyperlink r:id="rId719" ref="R515"/>
    <hyperlink r:id="rId720" ref="M516"/>
    <hyperlink r:id="rId721" ref="R516"/>
    <hyperlink r:id="rId722" ref="M517"/>
    <hyperlink r:id="rId723" ref="R517"/>
    <hyperlink r:id="rId724" ref="M518"/>
    <hyperlink r:id="rId725" ref="R518"/>
    <hyperlink r:id="rId726" ref="M519"/>
    <hyperlink r:id="rId727" ref="R519"/>
    <hyperlink r:id="rId728" ref="M520"/>
    <hyperlink r:id="rId729" ref="R520"/>
    <hyperlink r:id="rId730" ref="M521"/>
    <hyperlink r:id="rId731" ref="R521"/>
    <hyperlink r:id="rId732" ref="M522"/>
    <hyperlink r:id="rId733" ref="R522"/>
    <hyperlink r:id="rId734" ref="M523"/>
    <hyperlink r:id="rId735" ref="R523"/>
    <hyperlink r:id="rId736" ref="M524"/>
    <hyperlink r:id="rId737" ref="R524"/>
    <hyperlink r:id="rId738" ref="M525"/>
    <hyperlink r:id="rId739" ref="R525"/>
    <hyperlink r:id="rId740" ref="M526"/>
    <hyperlink r:id="rId741" ref="R526"/>
    <hyperlink r:id="rId742" ref="M527"/>
    <hyperlink r:id="rId743" ref="R527"/>
    <hyperlink r:id="rId744" ref="M528"/>
    <hyperlink r:id="rId745" ref="R528"/>
    <hyperlink r:id="rId746" ref="M529"/>
    <hyperlink r:id="rId747" ref="R529"/>
    <hyperlink r:id="rId748" ref="M530"/>
    <hyperlink r:id="rId749" ref="R530"/>
    <hyperlink r:id="rId750" ref="M531"/>
    <hyperlink r:id="rId751" ref="R531"/>
    <hyperlink r:id="rId752" ref="M532"/>
    <hyperlink r:id="rId753" ref="R532"/>
    <hyperlink r:id="rId754" ref="M533"/>
    <hyperlink r:id="rId755" ref="R533"/>
    <hyperlink r:id="rId756" ref="M534"/>
    <hyperlink r:id="rId757" ref="R534"/>
    <hyperlink r:id="rId758" ref="M535"/>
    <hyperlink r:id="rId759" ref="R535"/>
    <hyperlink r:id="rId760" ref="M536"/>
    <hyperlink r:id="rId761" ref="R536"/>
    <hyperlink r:id="rId762" ref="M537"/>
    <hyperlink r:id="rId763" ref="R537"/>
    <hyperlink r:id="rId764" ref="M538"/>
    <hyperlink r:id="rId765" ref="R538"/>
    <hyperlink r:id="rId766" ref="M539"/>
    <hyperlink r:id="rId767" ref="R539"/>
    <hyperlink r:id="rId768" ref="M540"/>
    <hyperlink r:id="rId769" ref="R540"/>
    <hyperlink r:id="rId770" ref="M541"/>
    <hyperlink r:id="rId771" ref="R541"/>
    <hyperlink r:id="rId772" ref="M542"/>
    <hyperlink r:id="rId773" ref="R542"/>
    <hyperlink r:id="rId774" ref="M543"/>
    <hyperlink r:id="rId775" ref="R543"/>
    <hyperlink r:id="rId776" ref="M544"/>
    <hyperlink r:id="rId777" ref="R544"/>
    <hyperlink r:id="rId778" ref="M545"/>
    <hyperlink r:id="rId779" ref="R545"/>
    <hyperlink r:id="rId780" ref="M546"/>
    <hyperlink r:id="rId781" ref="R546"/>
    <hyperlink r:id="rId782" ref="M547"/>
    <hyperlink r:id="rId783" ref="R547"/>
    <hyperlink r:id="rId784" ref="M548"/>
    <hyperlink r:id="rId785" ref="R548"/>
    <hyperlink r:id="rId786" ref="M549"/>
    <hyperlink r:id="rId787" ref="R549"/>
    <hyperlink r:id="rId788" ref="M550"/>
    <hyperlink r:id="rId789" ref="R550"/>
    <hyperlink r:id="rId790" ref="M551"/>
    <hyperlink r:id="rId791" ref="R551"/>
    <hyperlink r:id="rId792" ref="M552"/>
    <hyperlink r:id="rId793" ref="R552"/>
    <hyperlink r:id="rId794" ref="M553"/>
    <hyperlink r:id="rId795" ref="R553"/>
    <hyperlink r:id="rId796" ref="M554"/>
    <hyperlink r:id="rId797" ref="R554"/>
    <hyperlink r:id="rId798" ref="M555"/>
    <hyperlink r:id="rId799" ref="R555"/>
    <hyperlink r:id="rId800" ref="M556"/>
    <hyperlink r:id="rId801" ref="R556"/>
    <hyperlink r:id="rId802" ref="M557"/>
    <hyperlink r:id="rId803" ref="R557"/>
    <hyperlink r:id="rId804" ref="M558"/>
    <hyperlink r:id="rId805" ref="R558"/>
    <hyperlink r:id="rId806" ref="M559"/>
    <hyperlink r:id="rId807" ref="R559"/>
    <hyperlink r:id="rId808" ref="M560"/>
    <hyperlink r:id="rId809" ref="R560"/>
    <hyperlink r:id="rId810" ref="M561"/>
    <hyperlink r:id="rId811" ref="R561"/>
    <hyperlink r:id="rId812" ref="M562"/>
    <hyperlink r:id="rId813" ref="R562"/>
    <hyperlink r:id="rId814" ref="M563"/>
    <hyperlink r:id="rId815" ref="R563"/>
    <hyperlink r:id="rId816" ref="M564"/>
    <hyperlink r:id="rId817" ref="R564"/>
    <hyperlink r:id="rId818" ref="M565"/>
    <hyperlink r:id="rId819" ref="R565"/>
    <hyperlink r:id="rId820" ref="M566"/>
    <hyperlink r:id="rId821" ref="R566"/>
    <hyperlink r:id="rId822" ref="M567"/>
    <hyperlink r:id="rId823" ref="R567"/>
    <hyperlink r:id="rId824" ref="M568"/>
    <hyperlink r:id="rId825" ref="R568"/>
    <hyperlink r:id="rId826" ref="M569"/>
    <hyperlink r:id="rId827" ref="R569"/>
    <hyperlink r:id="rId828" ref="M570"/>
    <hyperlink r:id="rId829" ref="R570"/>
    <hyperlink r:id="rId830" ref="M571"/>
    <hyperlink r:id="rId831" ref="R571"/>
    <hyperlink r:id="rId832" ref="M572"/>
    <hyperlink r:id="rId833" ref="R572"/>
    <hyperlink r:id="rId834" ref="M573"/>
    <hyperlink r:id="rId835" ref="R573"/>
    <hyperlink r:id="rId836" ref="M574"/>
    <hyperlink r:id="rId837" ref="R574"/>
    <hyperlink r:id="rId838" ref="M575"/>
    <hyperlink r:id="rId839" ref="R575"/>
    <hyperlink r:id="rId840" ref="M576"/>
    <hyperlink r:id="rId841" ref="R576"/>
    <hyperlink r:id="rId842" ref="M577"/>
    <hyperlink r:id="rId843" ref="R577"/>
    <hyperlink r:id="rId844" ref="M578"/>
    <hyperlink r:id="rId845" ref="R578"/>
    <hyperlink r:id="rId846" ref="M579"/>
    <hyperlink r:id="rId847" ref="R579"/>
    <hyperlink r:id="rId848" ref="M580"/>
    <hyperlink r:id="rId849" ref="R580"/>
    <hyperlink r:id="rId850" ref="M581"/>
    <hyperlink r:id="rId851" ref="R581"/>
    <hyperlink r:id="rId852" ref="M582"/>
    <hyperlink r:id="rId853" ref="R582"/>
    <hyperlink r:id="rId854" ref="M583"/>
    <hyperlink r:id="rId855" ref="R583"/>
    <hyperlink r:id="rId856" ref="M584"/>
    <hyperlink r:id="rId857" ref="R584"/>
    <hyperlink r:id="rId858" ref="M585"/>
    <hyperlink r:id="rId859" ref="R585"/>
    <hyperlink r:id="rId860" ref="M586"/>
    <hyperlink r:id="rId861" ref="R586"/>
    <hyperlink r:id="rId862" ref="M587"/>
    <hyperlink r:id="rId863" ref="R587"/>
    <hyperlink r:id="rId864" ref="M588"/>
    <hyperlink r:id="rId865" ref="R588"/>
    <hyperlink r:id="rId866" ref="M589"/>
    <hyperlink r:id="rId867" ref="R589"/>
    <hyperlink r:id="rId868" ref="M590"/>
    <hyperlink r:id="rId869" ref="R590"/>
    <hyperlink r:id="rId870" ref="M591"/>
    <hyperlink r:id="rId871" ref="R591"/>
    <hyperlink r:id="rId872" ref="M592"/>
    <hyperlink r:id="rId873" ref="R592"/>
    <hyperlink r:id="rId874" ref="M593"/>
    <hyperlink r:id="rId875" ref="R593"/>
    <hyperlink r:id="rId876" ref="M594"/>
    <hyperlink r:id="rId877" ref="R594"/>
    <hyperlink r:id="rId878" ref="M595"/>
    <hyperlink r:id="rId879" ref="R595"/>
    <hyperlink r:id="rId880" ref="M596"/>
    <hyperlink r:id="rId881" ref="R596"/>
    <hyperlink r:id="rId882" ref="M597"/>
    <hyperlink r:id="rId883" ref="R597"/>
    <hyperlink r:id="rId884" ref="M598"/>
    <hyperlink r:id="rId885" ref="R598"/>
    <hyperlink r:id="rId886" ref="M599"/>
    <hyperlink r:id="rId887" ref="R599"/>
    <hyperlink r:id="rId888" ref="M600"/>
    <hyperlink r:id="rId889" ref="R600"/>
    <hyperlink r:id="rId890" ref="M601"/>
    <hyperlink r:id="rId891" ref="R601"/>
    <hyperlink r:id="rId892" ref="M602"/>
    <hyperlink r:id="rId893" ref="R602"/>
    <hyperlink r:id="rId894" ref="M603"/>
    <hyperlink r:id="rId895" ref="R603"/>
    <hyperlink r:id="rId896" ref="M604"/>
    <hyperlink r:id="rId897" ref="R604"/>
    <hyperlink r:id="rId898" ref="M605"/>
    <hyperlink r:id="rId899" ref="R605"/>
    <hyperlink r:id="rId900" ref="M606"/>
    <hyperlink r:id="rId901" ref="R606"/>
    <hyperlink r:id="rId902" ref="M607"/>
    <hyperlink r:id="rId903" ref="R607"/>
    <hyperlink r:id="rId904" ref="M608"/>
    <hyperlink r:id="rId905" ref="R608"/>
    <hyperlink r:id="rId906" ref="M609"/>
    <hyperlink r:id="rId907" ref="R609"/>
    <hyperlink r:id="rId908" ref="M610"/>
    <hyperlink r:id="rId909" ref="R610"/>
    <hyperlink r:id="rId910" ref="M611"/>
    <hyperlink r:id="rId911" ref="R611"/>
    <hyperlink r:id="rId912" ref="M612"/>
    <hyperlink r:id="rId913" ref="R612"/>
    <hyperlink r:id="rId914" ref="M613"/>
    <hyperlink r:id="rId915" ref="R613"/>
    <hyperlink r:id="rId916" ref="M614"/>
    <hyperlink r:id="rId917" ref="R614"/>
    <hyperlink r:id="rId918" ref="M615"/>
    <hyperlink r:id="rId919" ref="R615"/>
    <hyperlink r:id="rId920" ref="M616"/>
    <hyperlink r:id="rId921" ref="R616"/>
    <hyperlink r:id="rId922" ref="M617"/>
    <hyperlink r:id="rId923" ref="R617"/>
    <hyperlink r:id="rId924" ref="M618"/>
    <hyperlink r:id="rId925" ref="R618"/>
    <hyperlink r:id="rId926" ref="M619"/>
    <hyperlink r:id="rId927" ref="R619"/>
    <hyperlink r:id="rId928" ref="M620"/>
    <hyperlink r:id="rId929" ref="R620"/>
    <hyperlink r:id="rId930" ref="M621"/>
    <hyperlink r:id="rId931" ref="R621"/>
    <hyperlink r:id="rId932" ref="M622"/>
    <hyperlink r:id="rId933" ref="R622"/>
    <hyperlink r:id="rId934" ref="M623"/>
    <hyperlink r:id="rId935" ref="R623"/>
    <hyperlink r:id="rId936" ref="M624"/>
    <hyperlink r:id="rId937" ref="R624"/>
    <hyperlink r:id="rId938" ref="M625"/>
    <hyperlink r:id="rId939" ref="R625"/>
    <hyperlink r:id="rId940" ref="M626"/>
    <hyperlink r:id="rId941" ref="R626"/>
    <hyperlink r:id="rId942" ref="M627"/>
    <hyperlink r:id="rId943" ref="R627"/>
    <hyperlink r:id="rId944" ref="M628"/>
    <hyperlink r:id="rId945" ref="R628"/>
    <hyperlink r:id="rId946" ref="M629"/>
    <hyperlink r:id="rId947" ref="R629"/>
    <hyperlink r:id="rId948" ref="M630"/>
    <hyperlink r:id="rId949" ref="R630"/>
    <hyperlink r:id="rId950" ref="M631"/>
    <hyperlink r:id="rId951" ref="R631"/>
    <hyperlink r:id="rId952" ref="M632"/>
    <hyperlink r:id="rId953" ref="R632"/>
    <hyperlink r:id="rId954" ref="M633"/>
    <hyperlink r:id="rId955" ref="R633"/>
    <hyperlink r:id="rId956" ref="M634"/>
    <hyperlink r:id="rId957" ref="R634"/>
    <hyperlink r:id="rId958" ref="M635"/>
    <hyperlink r:id="rId959" ref="R635"/>
    <hyperlink r:id="rId960" ref="M636"/>
    <hyperlink r:id="rId961" ref="R636"/>
    <hyperlink r:id="rId962" ref="M637"/>
    <hyperlink r:id="rId963" ref="R637"/>
    <hyperlink r:id="rId964" ref="M638"/>
    <hyperlink r:id="rId965" ref="R638"/>
    <hyperlink r:id="rId966" ref="M639"/>
    <hyperlink r:id="rId967" ref="R639"/>
    <hyperlink r:id="rId968" ref="M640"/>
    <hyperlink r:id="rId969" ref="R640"/>
    <hyperlink r:id="rId970" ref="M641"/>
    <hyperlink r:id="rId971" ref="R641"/>
    <hyperlink r:id="rId972" ref="M642"/>
    <hyperlink r:id="rId973" ref="R642"/>
    <hyperlink r:id="rId974" ref="M643"/>
    <hyperlink r:id="rId975" ref="R643"/>
    <hyperlink r:id="rId976" ref="M644"/>
    <hyperlink r:id="rId977" ref="R644"/>
  </hyperlinks>
  <printOptions/>
  <pageMargins bottom="0.75" footer="0.0" header="0.0" left="0.7" right="0.7" top="0.75"/>
  <pageSetup orientation="landscape"/>
  <drawing r:id="rId978"/>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50.0"/>
    <col customWidth="1" min="3" max="4" width="36.0"/>
    <col customWidth="1" min="5" max="5" width="45.0"/>
    <col customWidth="1" min="6" max="6" width="8.63"/>
  </cols>
  <sheetData>
    <row r="1">
      <c r="A1" s="8" t="s">
        <v>25</v>
      </c>
      <c r="B1" s="8" t="s">
        <v>34</v>
      </c>
      <c r="C1" s="8" t="s">
        <v>36</v>
      </c>
      <c r="D1" s="8" t="s">
        <v>37</v>
      </c>
      <c r="E1" s="8" t="s">
        <v>38</v>
      </c>
    </row>
    <row r="2">
      <c r="A2" s="5" t="s">
        <v>39</v>
      </c>
      <c r="B2" s="5" t="s">
        <v>40</v>
      </c>
      <c r="C2" s="5" t="s">
        <v>42</v>
      </c>
      <c r="D2" s="5" t="s">
        <v>43</v>
      </c>
      <c r="E2" s="5" t="s">
        <v>44</v>
      </c>
    </row>
    <row r="3">
      <c r="A3" s="5" t="s">
        <v>45</v>
      </c>
      <c r="B3" s="5" t="s">
        <v>47</v>
      </c>
      <c r="C3" s="5" t="s">
        <v>48</v>
      </c>
      <c r="D3" s="5" t="s">
        <v>49</v>
      </c>
      <c r="E3" s="5" t="s">
        <v>50</v>
      </c>
    </row>
    <row r="4">
      <c r="A4" s="5" t="s">
        <v>51</v>
      </c>
      <c r="B4" s="5" t="s">
        <v>52</v>
      </c>
      <c r="C4" s="5" t="s">
        <v>53</v>
      </c>
      <c r="D4" s="5" t="s">
        <v>54</v>
      </c>
      <c r="E4" s="5" t="s">
        <v>55</v>
      </c>
    </row>
    <row r="5">
      <c r="A5" s="5" t="s">
        <v>56</v>
      </c>
      <c r="B5" s="5" t="s">
        <v>57</v>
      </c>
      <c r="C5" s="5" t="s">
        <v>58</v>
      </c>
      <c r="D5" s="5" t="s">
        <v>60</v>
      </c>
      <c r="E5" s="5" t="s">
        <v>62</v>
      </c>
    </row>
    <row r="6">
      <c r="A6" s="5" t="s">
        <v>63</v>
      </c>
      <c r="B6" s="5" t="s">
        <v>64</v>
      </c>
      <c r="C6" s="5" t="s">
        <v>65</v>
      </c>
      <c r="D6" s="5" t="s">
        <v>66</v>
      </c>
      <c r="E6" s="5" t="s">
        <v>68</v>
      </c>
    </row>
    <row r="7">
      <c r="A7" s="5" t="s">
        <v>69</v>
      </c>
      <c r="B7" s="5" t="s">
        <v>71</v>
      </c>
      <c r="C7" s="5" t="s">
        <v>73</v>
      </c>
      <c r="D7" s="5" t="s">
        <v>74</v>
      </c>
      <c r="E7" s="5" t="s">
        <v>75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0.0"/>
    <col customWidth="1" min="2" max="6" width="8.63"/>
  </cols>
  <sheetData>
    <row r="1">
      <c r="A1" s="5" t="s">
        <v>41</v>
      </c>
    </row>
    <row r="2">
      <c r="A2" s="5" t="s">
        <v>122</v>
      </c>
    </row>
    <row r="3">
      <c r="A3" s="5" t="s">
        <v>123</v>
      </c>
    </row>
    <row r="4">
      <c r="A4" s="5" t="s">
        <v>124</v>
      </c>
    </row>
    <row r="6">
      <c r="A6" s="5" t="s">
        <v>104</v>
      </c>
    </row>
    <row r="7">
      <c r="A7" s="5" t="s">
        <v>99</v>
      </c>
    </row>
    <row r="8">
      <c r="A8" s="5" t="s">
        <v>126</v>
      </c>
    </row>
    <row r="9">
      <c r="A9" s="5" t="s">
        <v>127</v>
      </c>
    </row>
    <row r="10">
      <c r="A10" s="5" t="s">
        <v>129</v>
      </c>
    </row>
    <row r="11">
      <c r="A11" s="5" t="s">
        <v>130</v>
      </c>
    </row>
    <row r="12">
      <c r="A12" s="5" t="s">
        <v>131</v>
      </c>
    </row>
    <row r="13">
      <c r="A13" s="5" t="s">
        <v>132</v>
      </c>
    </row>
    <row r="14">
      <c r="A14" s="5" t="s">
        <v>133</v>
      </c>
    </row>
    <row r="16">
      <c r="A16" s="5" t="s">
        <v>3</v>
      </c>
    </row>
    <row r="17">
      <c r="A17" s="5" t="s">
        <v>115</v>
      </c>
    </row>
    <row r="18">
      <c r="A18" s="5" t="s">
        <v>31</v>
      </c>
    </row>
    <row r="19">
      <c r="A19" s="5" t="s">
        <v>134</v>
      </c>
    </row>
    <row r="20">
      <c r="A20" s="5" t="s">
        <v>135</v>
      </c>
    </row>
    <row r="21" ht="15.75" customHeight="1">
      <c r="A21" s="5" t="s">
        <v>56</v>
      </c>
    </row>
    <row r="22" ht="15.75" customHeight="1">
      <c r="A22" s="5" t="s">
        <v>137</v>
      </c>
    </row>
    <row r="23" ht="15.75" customHeight="1">
      <c r="A23" s="5" t="s">
        <v>138</v>
      </c>
    </row>
    <row r="24" ht="15.75" customHeight="1">
      <c r="A24" s="5" t="s">
        <v>139</v>
      </c>
    </row>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42.0"/>
    <col customWidth="1" min="2" max="2" width="18.0"/>
    <col customWidth="1" min="3" max="8" width="15.0"/>
  </cols>
  <sheetData>
    <row r="1" ht="18.75" customHeight="1">
      <c r="A1" s="21" t="s">
        <v>153</v>
      </c>
    </row>
    <row r="3" ht="15.0" customHeight="1">
      <c r="A3" s="22" t="s">
        <v>156</v>
      </c>
      <c r="B3" s="22" t="s">
        <v>158</v>
      </c>
      <c r="D3" s="23" t="s">
        <v>159</v>
      </c>
      <c r="E3" s="24"/>
      <c r="F3" s="24"/>
      <c r="G3" s="24"/>
      <c r="H3" s="24"/>
    </row>
    <row r="4" ht="15.0" customHeight="1">
      <c r="A4" s="25" t="s">
        <v>162</v>
      </c>
      <c r="B4" s="26">
        <f>COUNTA('All Targets'!C19:C193)</f>
        <v>1</v>
      </c>
      <c r="D4" s="27" t="s">
        <v>156</v>
      </c>
      <c r="E4" s="28" t="s">
        <v>158</v>
      </c>
    </row>
    <row r="5" ht="15.0" customHeight="1">
      <c r="A5" s="25" t="s">
        <v>171</v>
      </c>
      <c r="B5" s="26" t="str">
        <f>COUNTIF('All Targets'!T19:T193,"High")</f>
        <v>#REF!</v>
      </c>
      <c r="D5" s="27" t="s">
        <v>173</v>
      </c>
      <c r="E5" s="28">
        <f>COUNTA('All contacts'!$B$2:$B$224)</f>
        <v>223</v>
      </c>
    </row>
    <row r="6" ht="15.0" customHeight="1">
      <c r="A6" s="25" t="s">
        <v>175</v>
      </c>
      <c r="B6" s="26" t="str">
        <f>COUNTIF('All Targets'!T19:T193,"Medium")</f>
        <v>#REF!</v>
      </c>
      <c r="D6" s="27" t="s">
        <v>109</v>
      </c>
      <c r="E6" s="28">
        <f>COUNTIF(#REF!,"Added as contact")</f>
        <v>0</v>
      </c>
    </row>
    <row r="7" ht="15.0" customHeight="1">
      <c r="A7" s="25" t="s">
        <v>183</v>
      </c>
      <c r="B7" s="26" t="str">
        <f>COUNTIF('All Targets'!T19:T193,"Low")</f>
        <v>#REF!</v>
      </c>
      <c r="D7" s="31" t="s">
        <v>191</v>
      </c>
      <c r="E7" s="32">
        <f>COUNTIF(#REF!,"Connection completed")</f>
        <v>0</v>
      </c>
    </row>
    <row r="8" ht="15.0" customHeight="1">
      <c r="A8" s="25" t="s">
        <v>199</v>
      </c>
      <c r="B8" s="26" t="str">
        <f>ROUND(AVERAGE('All Targets'!U19:U193),1)</f>
        <v>#REF!</v>
      </c>
    </row>
    <row r="9" ht="15.0" customHeight="1">
      <c r="A9" s="25" t="s">
        <v>210</v>
      </c>
      <c r="B9" s="26">
        <f>COUNTIFS('All Targets'!A19:A193,"A",'All Targets'!U19:U193,"&gt;=4")</f>
        <v>0</v>
      </c>
    </row>
    <row r="10" ht="15.0" customHeight="1">
      <c r="A10" s="25" t="s">
        <v>221</v>
      </c>
      <c r="B10" s="26">
        <f>COUNTIFS('All Targets'!A19:A193,"B",'All Targets'!U19:U193,"&gt;=4")</f>
        <v>0</v>
      </c>
    </row>
    <row r="11" ht="15.0" customHeight="1">
      <c r="A11" s="25" t="s">
        <v>226</v>
      </c>
      <c r="B11" s="26">
        <f>COUNTA('All Targets'!C19:C193)</f>
        <v>1</v>
      </c>
    </row>
    <row r="13" ht="15.0" customHeight="1">
      <c r="A13" s="4" t="s">
        <v>231</v>
      </c>
    </row>
    <row r="14" ht="144.75" customHeight="1">
      <c r="A14" s="30" t="s">
        <v>235</v>
      </c>
      <c r="B14" s="30"/>
      <c r="C14" s="30"/>
      <c r="D14" s="30"/>
      <c r="E14" s="30"/>
      <c r="F14" s="30"/>
      <c r="G14" s="30"/>
      <c r="H14" s="30"/>
    </row>
    <row r="15" ht="224.25" customHeight="1">
      <c r="A15" s="30" t="s">
        <v>238</v>
      </c>
      <c r="B15" s="30"/>
      <c r="C15" s="30"/>
      <c r="D15" s="30"/>
      <c r="E15" s="30"/>
      <c r="F15" s="30"/>
      <c r="G15" s="30"/>
      <c r="H15" s="30"/>
    </row>
    <row r="16" ht="184.5" customHeight="1">
      <c r="A16" s="30" t="s">
        <v>240</v>
      </c>
      <c r="B16" s="30"/>
      <c r="C16" s="30"/>
      <c r="D16" s="30"/>
      <c r="E16" s="30"/>
      <c r="F16" s="30"/>
      <c r="G16" s="30"/>
      <c r="H16" s="30"/>
    </row>
    <row r="17" ht="78.75" customHeight="1">
      <c r="A17" s="30" t="s">
        <v>242</v>
      </c>
      <c r="B17" s="30"/>
      <c r="C17" s="30"/>
      <c r="D17" s="30"/>
      <c r="E17" s="30"/>
      <c r="F17" s="30"/>
      <c r="G17" s="30"/>
      <c r="H17" s="30"/>
    </row>
    <row r="18" ht="224.25" customHeight="1">
      <c r="A18" s="30" t="s">
        <v>243</v>
      </c>
      <c r="B18" s="30"/>
      <c r="C18" s="30"/>
      <c r="D18" s="30"/>
      <c r="E18" s="30"/>
      <c r="F18" s="30"/>
      <c r="G18" s="30"/>
      <c r="H18" s="30"/>
    </row>
    <row r="19" ht="132.0" customHeight="1">
      <c r="A19" s="30" t="s">
        <v>245</v>
      </c>
      <c r="B19" s="30"/>
      <c r="C19" s="30"/>
      <c r="D19" s="30"/>
      <c r="E19" s="30"/>
      <c r="F19" s="30"/>
      <c r="G19" s="30"/>
      <c r="H19" s="30"/>
    </row>
    <row r="20" ht="132.0" customHeight="1">
      <c r="A20" s="30" t="s">
        <v>247</v>
      </c>
      <c r="B20" s="30"/>
      <c r="C20" s="30"/>
      <c r="D20" s="30"/>
      <c r="E20" s="30"/>
      <c r="F20" s="30"/>
      <c r="G20" s="30"/>
      <c r="H20" s="30"/>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H1"/>
    <mergeCell ref="D3:H3"/>
    <mergeCell ref="A13:H13"/>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28.0"/>
    <col customWidth="1" min="3" max="3" width="42.0"/>
    <col customWidth="1" min="4" max="4" width="50.0"/>
    <col customWidth="1" min="5" max="5" width="38.0"/>
    <col customWidth="1" min="6" max="6" width="8.63"/>
  </cols>
  <sheetData>
    <row r="1" ht="18.0" customHeight="1">
      <c r="A1" s="29" t="s">
        <v>180</v>
      </c>
    </row>
    <row r="3" ht="15.0" customHeight="1">
      <c r="A3" s="22" t="s">
        <v>184</v>
      </c>
      <c r="B3" s="22" t="s">
        <v>185</v>
      </c>
      <c r="C3" s="22" t="s">
        <v>186</v>
      </c>
      <c r="D3" s="22" t="s">
        <v>187</v>
      </c>
      <c r="E3" s="22" t="s">
        <v>189</v>
      </c>
    </row>
    <row r="4" ht="26.25" customHeight="1">
      <c r="A4" s="30" t="s">
        <v>190</v>
      </c>
      <c r="B4" s="30" t="s">
        <v>192</v>
      </c>
      <c r="C4" s="30" t="s">
        <v>193</v>
      </c>
      <c r="D4" s="30" t="s">
        <v>194</v>
      </c>
      <c r="E4" s="30" t="s">
        <v>196</v>
      </c>
    </row>
    <row r="5" ht="39.0" customHeight="1">
      <c r="A5" s="30" t="s">
        <v>197</v>
      </c>
      <c r="B5" s="30" t="s">
        <v>198</v>
      </c>
      <c r="C5" s="30" t="s">
        <v>200</v>
      </c>
      <c r="D5" s="30" t="s">
        <v>201</v>
      </c>
      <c r="E5" s="30" t="s">
        <v>202</v>
      </c>
    </row>
    <row r="6" ht="39.0" customHeight="1">
      <c r="A6" s="30" t="s">
        <v>204</v>
      </c>
      <c r="B6" s="30" t="s">
        <v>205</v>
      </c>
      <c r="C6" s="30" t="s">
        <v>206</v>
      </c>
      <c r="D6" s="30" t="s">
        <v>207</v>
      </c>
      <c r="E6" s="30" t="s">
        <v>208</v>
      </c>
    </row>
    <row r="7" ht="66.0" customHeight="1">
      <c r="A7" s="30" t="s">
        <v>209</v>
      </c>
      <c r="B7" s="30" t="s">
        <v>211</v>
      </c>
      <c r="C7" s="30" t="s">
        <v>212</v>
      </c>
      <c r="D7" s="30" t="s">
        <v>214</v>
      </c>
      <c r="E7" s="30" t="s">
        <v>215</v>
      </c>
    </row>
    <row r="8" ht="39.0" customHeight="1">
      <c r="A8" s="30" t="s">
        <v>216</v>
      </c>
      <c r="B8" s="30" t="s">
        <v>217</v>
      </c>
      <c r="C8" s="30" t="s">
        <v>218</v>
      </c>
      <c r="D8" s="30" t="s">
        <v>219</v>
      </c>
      <c r="E8" s="30" t="s">
        <v>220</v>
      </c>
    </row>
    <row r="10" ht="15.0" customHeight="1">
      <c r="A10" s="4" t="s">
        <v>223</v>
      </c>
    </row>
    <row r="11" ht="52.5" customHeight="1">
      <c r="A11" s="7" t="s">
        <v>224</v>
      </c>
      <c r="B11" s="7"/>
      <c r="C11" s="7"/>
      <c r="D11" s="7"/>
      <c r="E11" s="7"/>
    </row>
    <row r="12" ht="66.0" customHeight="1">
      <c r="A12" s="7" t="s">
        <v>228</v>
      </c>
      <c r="B12" s="7"/>
      <c r="C12" s="7"/>
      <c r="D12" s="7"/>
      <c r="E12" s="7"/>
    </row>
    <row r="13" ht="52.5" customHeight="1">
      <c r="A13" s="7" t="s">
        <v>230</v>
      </c>
      <c r="B13" s="7"/>
      <c r="C13" s="7"/>
      <c r="D13" s="7"/>
      <c r="E13" s="7"/>
    </row>
    <row r="14" ht="39.0" customHeight="1">
      <c r="A14" s="7" t="s">
        <v>233</v>
      </c>
      <c r="B14" s="7"/>
      <c r="C14" s="7"/>
      <c r="D14" s="7"/>
      <c r="E14" s="7"/>
    </row>
    <row r="15" ht="26.25" customHeight="1">
      <c r="A15" s="7" t="s">
        <v>236</v>
      </c>
      <c r="B15" s="7"/>
      <c r="C15" s="7"/>
      <c r="D15" s="7"/>
      <c r="E15" s="7"/>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10:E10"/>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42.0"/>
    <col customWidth="1" min="3" max="3" width="38.0"/>
    <col customWidth="1" min="4" max="4" width="42.0"/>
    <col customWidth="1" min="5" max="6" width="8.63"/>
  </cols>
  <sheetData>
    <row r="1">
      <c r="A1" s="29" t="s">
        <v>267</v>
      </c>
    </row>
    <row r="3">
      <c r="A3" s="22" t="s">
        <v>268</v>
      </c>
      <c r="B3" s="22" t="s">
        <v>269</v>
      </c>
      <c r="C3" s="22" t="s">
        <v>270</v>
      </c>
      <c r="D3" s="22" t="s">
        <v>271</v>
      </c>
    </row>
    <row r="4">
      <c r="A4" s="30" t="s">
        <v>272</v>
      </c>
      <c r="B4" s="30" t="s">
        <v>273</v>
      </c>
      <c r="C4" s="30" t="s">
        <v>274</v>
      </c>
      <c r="D4" s="30" t="s">
        <v>275</v>
      </c>
    </row>
    <row r="5">
      <c r="A5" s="30" t="s">
        <v>276</v>
      </c>
      <c r="B5" s="30" t="s">
        <v>277</v>
      </c>
      <c r="C5" s="30" t="s">
        <v>278</v>
      </c>
      <c r="D5" s="30" t="s">
        <v>280</v>
      </c>
    </row>
    <row r="6">
      <c r="A6" s="30" t="s">
        <v>281</v>
      </c>
      <c r="B6" s="30" t="s">
        <v>282</v>
      </c>
      <c r="C6" s="30" t="s">
        <v>283</v>
      </c>
      <c r="D6" s="30" t="s">
        <v>284</v>
      </c>
    </row>
    <row r="7">
      <c r="A7" s="30" t="s">
        <v>285</v>
      </c>
      <c r="B7" s="30" t="s">
        <v>286</v>
      </c>
      <c r="C7" s="30" t="s">
        <v>287</v>
      </c>
      <c r="D7" s="30" t="s">
        <v>288</v>
      </c>
    </row>
    <row r="8">
      <c r="A8" s="30" t="s">
        <v>289</v>
      </c>
      <c r="B8" s="30" t="s">
        <v>290</v>
      </c>
      <c r="C8" s="30" t="s">
        <v>291</v>
      </c>
      <c r="D8" s="30" t="s">
        <v>292</v>
      </c>
    </row>
    <row r="9">
      <c r="A9" s="30" t="s">
        <v>293</v>
      </c>
      <c r="B9" s="30" t="s">
        <v>294</v>
      </c>
      <c r="C9" s="30" t="s">
        <v>295</v>
      </c>
      <c r="D9" s="30" t="s">
        <v>296</v>
      </c>
    </row>
    <row r="10">
      <c r="A10" s="30" t="s">
        <v>297</v>
      </c>
      <c r="B10" s="30" t="s">
        <v>298</v>
      </c>
      <c r="C10" s="30" t="s">
        <v>299</v>
      </c>
      <c r="D10" s="30" t="s">
        <v>300</v>
      </c>
    </row>
    <row r="11">
      <c r="A11" s="30" t="s">
        <v>301</v>
      </c>
      <c r="B11" s="30" t="s">
        <v>302</v>
      </c>
      <c r="C11" s="30" t="s">
        <v>303</v>
      </c>
      <c r="D11" s="30" t="s">
        <v>304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D1"/>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0"/>
    <col customWidth="1" min="2" max="2" width="26.0"/>
    <col customWidth="1" min="3" max="3" width="16.0"/>
    <col customWidth="1" min="4" max="4" width="22.0"/>
    <col customWidth="1" min="5" max="5" width="24.0"/>
    <col customWidth="1" min="6" max="6" width="30.0"/>
    <col customWidth="1" min="7" max="7" width="48.0"/>
    <col customWidth="1" min="8" max="8" width="40.0"/>
    <col customWidth="1" min="9" max="9" width="42.0"/>
    <col customWidth="1" min="10" max="10" width="14.0"/>
    <col customWidth="1" min="11" max="11" width="16.0"/>
    <col customWidth="1" min="12" max="12" width="32.0"/>
    <col customWidth="1" min="13" max="26" width="8.63"/>
  </cols>
  <sheetData>
    <row r="1">
      <c r="A1" s="34" t="s">
        <v>307</v>
      </c>
      <c r="B1" s="34" t="s">
        <v>72</v>
      </c>
      <c r="C1" s="34" t="s">
        <v>308</v>
      </c>
      <c r="D1" s="34" t="s">
        <v>3</v>
      </c>
      <c r="E1" s="34" t="s">
        <v>61</v>
      </c>
      <c r="F1" s="34" t="s">
        <v>84</v>
      </c>
      <c r="G1" s="34" t="s">
        <v>310</v>
      </c>
      <c r="H1" s="34" t="s">
        <v>80</v>
      </c>
      <c r="I1" s="34" t="s">
        <v>311</v>
      </c>
      <c r="J1" s="34" t="s">
        <v>93</v>
      </c>
      <c r="K1" s="34" t="s">
        <v>104</v>
      </c>
      <c r="L1" s="34" t="s">
        <v>312</v>
      </c>
    </row>
    <row r="2">
      <c r="A2" s="7">
        <v>1.0</v>
      </c>
      <c r="B2" s="7" t="s">
        <v>313</v>
      </c>
      <c r="C2" s="7" t="s">
        <v>86</v>
      </c>
      <c r="D2" s="7" t="s">
        <v>166</v>
      </c>
      <c r="E2" s="7" t="s">
        <v>314</v>
      </c>
      <c r="F2" s="7" t="s">
        <v>315</v>
      </c>
      <c r="G2" s="7" t="s">
        <v>316</v>
      </c>
      <c r="H2" s="7" t="s">
        <v>317</v>
      </c>
      <c r="I2" s="7" t="s">
        <v>318</v>
      </c>
      <c r="J2" s="7" t="s">
        <v>319</v>
      </c>
      <c r="K2" s="7" t="str">
        <f t="shared" ref="K2:K31" si="1">#REF!</f>
        <v>#REF!</v>
      </c>
      <c r="L2" s="7" t="s">
        <v>320</v>
      </c>
    </row>
    <row r="3">
      <c r="A3" s="7">
        <v>2.0</v>
      </c>
      <c r="B3" s="7" t="s">
        <v>321</v>
      </c>
      <c r="C3" s="7" t="s">
        <v>46</v>
      </c>
      <c r="D3" s="7" t="s">
        <v>141</v>
      </c>
      <c r="E3" s="7" t="s">
        <v>322</v>
      </c>
      <c r="F3" s="7" t="s">
        <v>323</v>
      </c>
      <c r="G3" s="7" t="s">
        <v>324</v>
      </c>
      <c r="H3" s="7" t="s">
        <v>325</v>
      </c>
      <c r="I3" s="7" t="s">
        <v>326</v>
      </c>
      <c r="J3" s="7" t="s">
        <v>319</v>
      </c>
      <c r="K3" s="7" t="str">
        <f t="shared" si="1"/>
        <v>#REF!</v>
      </c>
      <c r="L3" s="7" t="s">
        <v>320</v>
      </c>
    </row>
    <row r="4">
      <c r="A4" s="7">
        <v>3.0</v>
      </c>
      <c r="B4" s="7" t="s">
        <v>327</v>
      </c>
      <c r="C4" s="7" t="s">
        <v>140</v>
      </c>
      <c r="D4" s="7" t="s">
        <v>134</v>
      </c>
      <c r="E4" s="7" t="s">
        <v>328</v>
      </c>
      <c r="F4" s="7" t="s">
        <v>329</v>
      </c>
      <c r="G4" s="7" t="s">
        <v>331</v>
      </c>
      <c r="H4" s="7" t="s">
        <v>332</v>
      </c>
      <c r="I4" s="7" t="s">
        <v>333</v>
      </c>
      <c r="J4" s="7" t="s">
        <v>319</v>
      </c>
      <c r="K4" s="7" t="str">
        <f t="shared" si="1"/>
        <v>#REF!</v>
      </c>
      <c r="L4" s="7" t="s">
        <v>320</v>
      </c>
    </row>
    <row r="5">
      <c r="A5" s="7">
        <v>4.0</v>
      </c>
      <c r="B5" s="7" t="s">
        <v>335</v>
      </c>
      <c r="C5" s="7" t="s">
        <v>140</v>
      </c>
      <c r="D5" s="7" t="s">
        <v>134</v>
      </c>
      <c r="E5" s="7" t="s">
        <v>336</v>
      </c>
      <c r="F5" s="7" t="s">
        <v>337</v>
      </c>
      <c r="G5" s="7" t="s">
        <v>338</v>
      </c>
      <c r="H5" s="7" t="s">
        <v>339</v>
      </c>
      <c r="I5" s="7" t="s">
        <v>340</v>
      </c>
      <c r="J5" s="7" t="s">
        <v>341</v>
      </c>
      <c r="K5" s="7" t="str">
        <f t="shared" si="1"/>
        <v>#REF!</v>
      </c>
      <c r="L5" s="7" t="s">
        <v>320</v>
      </c>
    </row>
    <row r="6">
      <c r="A6" s="7">
        <v>5.0</v>
      </c>
      <c r="B6" s="7" t="s">
        <v>342</v>
      </c>
      <c r="C6" s="7" t="s">
        <v>46</v>
      </c>
      <c r="D6" s="7" t="s">
        <v>121</v>
      </c>
      <c r="E6" s="7" t="s">
        <v>343</v>
      </c>
      <c r="F6" s="7" t="s">
        <v>344</v>
      </c>
      <c r="G6" s="7" t="s">
        <v>345</v>
      </c>
      <c r="H6" s="7" t="s">
        <v>346</v>
      </c>
      <c r="I6" s="7" t="s">
        <v>347</v>
      </c>
      <c r="J6" s="7" t="s">
        <v>319</v>
      </c>
      <c r="K6" s="7" t="str">
        <f t="shared" si="1"/>
        <v>#REF!</v>
      </c>
      <c r="L6" s="7" t="s">
        <v>320</v>
      </c>
    </row>
    <row r="7">
      <c r="A7" s="7">
        <v>6.0</v>
      </c>
      <c r="B7" s="7" t="s">
        <v>349</v>
      </c>
      <c r="C7" s="7" t="s">
        <v>46</v>
      </c>
      <c r="D7" s="7" t="s">
        <v>31</v>
      </c>
      <c r="E7" s="7" t="s">
        <v>350</v>
      </c>
      <c r="F7" s="7" t="s">
        <v>351</v>
      </c>
      <c r="G7" s="7" t="s">
        <v>352</v>
      </c>
      <c r="H7" s="7" t="s">
        <v>353</v>
      </c>
      <c r="I7" s="7" t="s">
        <v>354</v>
      </c>
      <c r="J7" s="7" t="s">
        <v>319</v>
      </c>
      <c r="K7" s="7" t="str">
        <f t="shared" si="1"/>
        <v>#REF!</v>
      </c>
      <c r="L7" s="7" t="s">
        <v>320</v>
      </c>
    </row>
    <row r="8">
      <c r="A8" s="7">
        <v>7.0</v>
      </c>
      <c r="B8" s="7" t="s">
        <v>355</v>
      </c>
      <c r="C8" s="7" t="s">
        <v>77</v>
      </c>
      <c r="D8" s="7" t="s">
        <v>83</v>
      </c>
      <c r="E8" s="7" t="s">
        <v>356</v>
      </c>
      <c r="F8" s="7" t="s">
        <v>357</v>
      </c>
      <c r="G8" s="7" t="s">
        <v>358</v>
      </c>
      <c r="H8" s="7" t="s">
        <v>359</v>
      </c>
      <c r="I8" s="7" t="s">
        <v>360</v>
      </c>
      <c r="J8" s="7" t="s">
        <v>319</v>
      </c>
      <c r="K8" s="7" t="str">
        <f t="shared" si="1"/>
        <v>#REF!</v>
      </c>
      <c r="L8" s="7" t="s">
        <v>320</v>
      </c>
    </row>
    <row r="9">
      <c r="A9" s="7">
        <v>8.0</v>
      </c>
      <c r="B9" s="7" t="s">
        <v>361</v>
      </c>
      <c r="C9" s="7" t="s">
        <v>77</v>
      </c>
      <c r="D9" s="7" t="s">
        <v>70</v>
      </c>
      <c r="E9" s="7" t="s">
        <v>363</v>
      </c>
      <c r="F9" s="7" t="s">
        <v>364</v>
      </c>
      <c r="G9" s="7" t="s">
        <v>365</v>
      </c>
      <c r="H9" s="7" t="s">
        <v>366</v>
      </c>
      <c r="I9" s="7" t="s">
        <v>367</v>
      </c>
      <c r="J9" s="7" t="s">
        <v>341</v>
      </c>
      <c r="K9" s="7" t="str">
        <f t="shared" si="1"/>
        <v>#REF!</v>
      </c>
      <c r="L9" s="7" t="s">
        <v>320</v>
      </c>
    </row>
    <row r="10">
      <c r="A10" s="7">
        <v>9.0</v>
      </c>
      <c r="B10" s="7" t="s">
        <v>369</v>
      </c>
      <c r="C10" s="7" t="s">
        <v>77</v>
      </c>
      <c r="D10" s="7" t="s">
        <v>134</v>
      </c>
      <c r="E10" s="7" t="s">
        <v>370</v>
      </c>
      <c r="F10" s="7" t="s">
        <v>371</v>
      </c>
      <c r="G10" s="7" t="s">
        <v>372</v>
      </c>
      <c r="H10" s="7" t="s">
        <v>373</v>
      </c>
      <c r="I10" s="7" t="s">
        <v>374</v>
      </c>
      <c r="J10" s="7" t="s">
        <v>319</v>
      </c>
      <c r="K10" s="7" t="str">
        <f t="shared" si="1"/>
        <v>#REF!</v>
      </c>
      <c r="L10" s="7" t="s">
        <v>320</v>
      </c>
    </row>
    <row r="11">
      <c r="A11" s="7">
        <v>10.0</v>
      </c>
      <c r="B11" s="7" t="s">
        <v>376</v>
      </c>
      <c r="C11" s="7" t="s">
        <v>77</v>
      </c>
      <c r="D11" s="7" t="s">
        <v>169</v>
      </c>
      <c r="E11" s="7" t="s">
        <v>379</v>
      </c>
      <c r="F11" s="7" t="s">
        <v>380</v>
      </c>
      <c r="G11" s="7" t="s">
        <v>381</v>
      </c>
      <c r="H11" s="7" t="s">
        <v>382</v>
      </c>
      <c r="I11" s="7" t="s">
        <v>383</v>
      </c>
      <c r="J11" s="7" t="s">
        <v>319</v>
      </c>
      <c r="K11" s="7" t="str">
        <f t="shared" si="1"/>
        <v>#REF!</v>
      </c>
      <c r="L11" s="7" t="s">
        <v>320</v>
      </c>
    </row>
    <row r="12">
      <c r="A12" s="7">
        <v>11.0</v>
      </c>
      <c r="B12" s="7" t="s">
        <v>390</v>
      </c>
      <c r="C12" s="7" t="s">
        <v>46</v>
      </c>
      <c r="D12" s="7" t="s">
        <v>115</v>
      </c>
      <c r="E12" s="7" t="s">
        <v>391</v>
      </c>
      <c r="F12" s="7" t="s">
        <v>380</v>
      </c>
      <c r="G12" s="7" t="s">
        <v>393</v>
      </c>
      <c r="H12" s="7" t="s">
        <v>395</v>
      </c>
      <c r="I12" s="7" t="s">
        <v>396</v>
      </c>
      <c r="J12" s="7" t="s">
        <v>397</v>
      </c>
      <c r="K12" s="7" t="str">
        <f t="shared" si="1"/>
        <v>#REF!</v>
      </c>
      <c r="L12" s="7" t="s">
        <v>320</v>
      </c>
    </row>
    <row r="13">
      <c r="A13" s="7">
        <v>12.0</v>
      </c>
      <c r="B13" s="7" t="s">
        <v>398</v>
      </c>
      <c r="C13" s="7" t="s">
        <v>46</v>
      </c>
      <c r="D13" s="7" t="s">
        <v>115</v>
      </c>
      <c r="E13" s="7" t="s">
        <v>399</v>
      </c>
      <c r="F13" s="7" t="s">
        <v>400</v>
      </c>
      <c r="G13" s="7" t="s">
        <v>401</v>
      </c>
      <c r="H13" s="7" t="s">
        <v>402</v>
      </c>
      <c r="I13" s="7" t="s">
        <v>403</v>
      </c>
      <c r="J13" s="7" t="s">
        <v>319</v>
      </c>
      <c r="K13" s="7" t="str">
        <f t="shared" si="1"/>
        <v>#REF!</v>
      </c>
      <c r="L13" s="7" t="s">
        <v>320</v>
      </c>
    </row>
    <row r="14">
      <c r="A14" s="7">
        <v>13.0</v>
      </c>
      <c r="B14" s="7" t="s">
        <v>404</v>
      </c>
      <c r="C14" s="7" t="s">
        <v>46</v>
      </c>
      <c r="D14" s="7" t="s">
        <v>115</v>
      </c>
      <c r="E14" s="7" t="s">
        <v>406</v>
      </c>
      <c r="F14" s="7" t="s">
        <v>407</v>
      </c>
      <c r="G14" s="7" t="s">
        <v>408</v>
      </c>
      <c r="H14" s="7" t="s">
        <v>409</v>
      </c>
      <c r="I14" s="7" t="s">
        <v>410</v>
      </c>
      <c r="J14" s="7" t="s">
        <v>397</v>
      </c>
      <c r="K14" s="7" t="str">
        <f t="shared" si="1"/>
        <v>#REF!</v>
      </c>
      <c r="L14" s="7" t="s">
        <v>320</v>
      </c>
    </row>
    <row r="15">
      <c r="A15" s="7">
        <v>14.0</v>
      </c>
      <c r="B15" s="7" t="s">
        <v>413</v>
      </c>
      <c r="C15" s="7" t="s">
        <v>46</v>
      </c>
      <c r="D15" s="7" t="s">
        <v>244</v>
      </c>
      <c r="E15" s="7" t="s">
        <v>415</v>
      </c>
      <c r="F15" s="7" t="s">
        <v>344</v>
      </c>
      <c r="G15" s="7" t="s">
        <v>417</v>
      </c>
      <c r="H15" s="7" t="s">
        <v>419</v>
      </c>
      <c r="I15" s="7" t="s">
        <v>420</v>
      </c>
      <c r="J15" s="7" t="s">
        <v>319</v>
      </c>
      <c r="K15" s="7" t="str">
        <f t="shared" si="1"/>
        <v>#REF!</v>
      </c>
      <c r="L15" s="7" t="s">
        <v>320</v>
      </c>
    </row>
    <row r="16">
      <c r="A16" s="7">
        <v>15.0</v>
      </c>
      <c r="B16" s="7" t="s">
        <v>422</v>
      </c>
      <c r="C16" s="7" t="s">
        <v>46</v>
      </c>
      <c r="D16" s="7" t="s">
        <v>115</v>
      </c>
      <c r="E16" s="7" t="s">
        <v>423</v>
      </c>
      <c r="F16" s="7" t="s">
        <v>344</v>
      </c>
      <c r="G16" s="7" t="s">
        <v>424</v>
      </c>
      <c r="H16" s="7" t="s">
        <v>426</v>
      </c>
      <c r="I16" s="7" t="s">
        <v>427</v>
      </c>
      <c r="J16" s="7" t="s">
        <v>319</v>
      </c>
      <c r="K16" s="7" t="str">
        <f t="shared" si="1"/>
        <v>#REF!</v>
      </c>
      <c r="L16" s="7" t="s">
        <v>320</v>
      </c>
    </row>
    <row r="17">
      <c r="A17" s="7">
        <v>16.0</v>
      </c>
      <c r="B17" s="7" t="s">
        <v>429</v>
      </c>
      <c r="C17" s="7" t="s">
        <v>46</v>
      </c>
      <c r="D17" s="7" t="s">
        <v>244</v>
      </c>
      <c r="E17" s="7" t="s">
        <v>430</v>
      </c>
      <c r="F17" s="7" t="s">
        <v>344</v>
      </c>
      <c r="G17" s="7" t="s">
        <v>431</v>
      </c>
      <c r="H17" s="7" t="s">
        <v>432</v>
      </c>
      <c r="I17" s="7" t="s">
        <v>433</v>
      </c>
      <c r="J17" s="7" t="s">
        <v>319</v>
      </c>
      <c r="K17" s="7" t="str">
        <f t="shared" si="1"/>
        <v>#REF!</v>
      </c>
      <c r="L17" s="7" t="s">
        <v>320</v>
      </c>
    </row>
    <row r="18">
      <c r="A18" s="7">
        <v>17.0</v>
      </c>
      <c r="B18" s="7" t="s">
        <v>434</v>
      </c>
      <c r="C18" s="7" t="s">
        <v>77</v>
      </c>
      <c r="D18" s="7" t="s">
        <v>115</v>
      </c>
      <c r="E18" s="7" t="s">
        <v>435</v>
      </c>
      <c r="F18" s="7" t="s">
        <v>436</v>
      </c>
      <c r="G18" s="7" t="s">
        <v>437</v>
      </c>
      <c r="H18" s="7" t="s">
        <v>438</v>
      </c>
      <c r="I18" s="7" t="s">
        <v>439</v>
      </c>
      <c r="J18" s="7" t="s">
        <v>319</v>
      </c>
      <c r="K18" s="7" t="str">
        <f t="shared" si="1"/>
        <v>#REF!</v>
      </c>
      <c r="L18" s="7" t="s">
        <v>320</v>
      </c>
    </row>
    <row r="19">
      <c r="A19" s="7">
        <v>18.0</v>
      </c>
      <c r="B19" s="7" t="s">
        <v>442</v>
      </c>
      <c r="C19" s="7" t="s">
        <v>77</v>
      </c>
      <c r="D19" s="7" t="s">
        <v>115</v>
      </c>
      <c r="E19" s="7" t="s">
        <v>443</v>
      </c>
      <c r="F19" s="7" t="s">
        <v>444</v>
      </c>
      <c r="G19" s="7" t="s">
        <v>445</v>
      </c>
      <c r="H19" s="7" t="s">
        <v>446</v>
      </c>
      <c r="I19" s="7" t="s">
        <v>447</v>
      </c>
      <c r="J19" s="7" t="s">
        <v>319</v>
      </c>
      <c r="K19" s="7" t="str">
        <f t="shared" si="1"/>
        <v>#REF!</v>
      </c>
      <c r="L19" s="7" t="s">
        <v>320</v>
      </c>
    </row>
    <row r="20">
      <c r="A20" s="7">
        <v>19.0</v>
      </c>
      <c r="B20" s="7" t="s">
        <v>449</v>
      </c>
      <c r="C20" s="7" t="s">
        <v>77</v>
      </c>
      <c r="D20" s="7" t="s">
        <v>115</v>
      </c>
      <c r="E20" s="7" t="s">
        <v>451</v>
      </c>
      <c r="F20" s="7" t="s">
        <v>351</v>
      </c>
      <c r="G20" s="7" t="s">
        <v>452</v>
      </c>
      <c r="H20" s="7" t="s">
        <v>454</v>
      </c>
      <c r="I20" s="7" t="s">
        <v>455</v>
      </c>
      <c r="J20" s="7" t="s">
        <v>319</v>
      </c>
      <c r="K20" s="7" t="str">
        <f t="shared" si="1"/>
        <v>#REF!</v>
      </c>
      <c r="L20" s="7" t="s">
        <v>320</v>
      </c>
    </row>
    <row r="21" ht="15.75" customHeight="1">
      <c r="A21" s="7">
        <v>20.0</v>
      </c>
      <c r="B21" s="7" t="s">
        <v>456</v>
      </c>
      <c r="C21" s="7" t="s">
        <v>86</v>
      </c>
      <c r="D21" s="7" t="s">
        <v>115</v>
      </c>
      <c r="E21" s="7" t="s">
        <v>457</v>
      </c>
      <c r="F21" s="7" t="s">
        <v>458</v>
      </c>
      <c r="G21" s="7" t="s">
        <v>459</v>
      </c>
      <c r="H21" s="7" t="s">
        <v>460</v>
      </c>
      <c r="I21" s="7" t="s">
        <v>461</v>
      </c>
      <c r="J21" s="7" t="s">
        <v>319</v>
      </c>
      <c r="K21" s="7" t="str">
        <f t="shared" si="1"/>
        <v>#REF!</v>
      </c>
      <c r="L21" s="7" t="s">
        <v>320</v>
      </c>
    </row>
    <row r="22" ht="15.75" customHeight="1">
      <c r="A22" s="7">
        <v>21.0</v>
      </c>
      <c r="B22" s="7" t="s">
        <v>462</v>
      </c>
      <c r="C22" s="7" t="s">
        <v>86</v>
      </c>
      <c r="D22" s="7" t="s">
        <v>115</v>
      </c>
      <c r="E22" s="7" t="s">
        <v>464</v>
      </c>
      <c r="F22" s="7" t="s">
        <v>436</v>
      </c>
      <c r="G22" s="7" t="s">
        <v>465</v>
      </c>
      <c r="H22" s="7" t="s">
        <v>466</v>
      </c>
      <c r="I22" s="7" t="s">
        <v>467</v>
      </c>
      <c r="J22" s="7" t="s">
        <v>319</v>
      </c>
      <c r="K22" s="7" t="str">
        <f t="shared" si="1"/>
        <v>#REF!</v>
      </c>
      <c r="L22" s="7" t="s">
        <v>320</v>
      </c>
    </row>
    <row r="23" ht="15.75" customHeight="1">
      <c r="A23" s="7">
        <v>22.0</v>
      </c>
      <c r="B23" s="7" t="s">
        <v>468</v>
      </c>
      <c r="C23" s="7" t="s">
        <v>86</v>
      </c>
      <c r="D23" s="7" t="s">
        <v>146</v>
      </c>
      <c r="E23" s="7" t="s">
        <v>469</v>
      </c>
      <c r="F23" s="7" t="s">
        <v>470</v>
      </c>
      <c r="G23" s="7" t="s">
        <v>471</v>
      </c>
      <c r="H23" s="7" t="s">
        <v>472</v>
      </c>
      <c r="I23" s="7" t="s">
        <v>473</v>
      </c>
      <c r="J23" s="7" t="s">
        <v>319</v>
      </c>
      <c r="K23" s="7" t="str">
        <f t="shared" si="1"/>
        <v>#REF!</v>
      </c>
      <c r="L23" s="7" t="s">
        <v>320</v>
      </c>
    </row>
    <row r="24" ht="15.75" customHeight="1">
      <c r="A24" s="7">
        <v>23.0</v>
      </c>
      <c r="B24" s="7" t="s">
        <v>474</v>
      </c>
      <c r="C24" s="7" t="s">
        <v>128</v>
      </c>
      <c r="D24" s="7" t="s">
        <v>141</v>
      </c>
      <c r="E24" s="7" t="s">
        <v>475</v>
      </c>
      <c r="F24" s="7" t="s">
        <v>476</v>
      </c>
      <c r="G24" s="7" t="s">
        <v>477</v>
      </c>
      <c r="H24" s="7" t="s">
        <v>478</v>
      </c>
      <c r="I24" s="7" t="s">
        <v>479</v>
      </c>
      <c r="J24" s="7" t="s">
        <v>319</v>
      </c>
      <c r="K24" s="7" t="str">
        <f t="shared" si="1"/>
        <v>#REF!</v>
      </c>
      <c r="L24" s="7" t="s">
        <v>320</v>
      </c>
    </row>
    <row r="25" ht="15.75" customHeight="1">
      <c r="A25" s="7">
        <v>24.0</v>
      </c>
      <c r="B25" s="7" t="s">
        <v>480</v>
      </c>
      <c r="C25" s="7" t="s">
        <v>86</v>
      </c>
      <c r="D25" s="7" t="s">
        <v>115</v>
      </c>
      <c r="E25" s="7" t="s">
        <v>481</v>
      </c>
      <c r="F25" s="7" t="s">
        <v>444</v>
      </c>
      <c r="G25" s="7" t="s">
        <v>482</v>
      </c>
      <c r="H25" s="7" t="s">
        <v>483</v>
      </c>
      <c r="I25" s="7" t="s">
        <v>484</v>
      </c>
      <c r="J25" s="7" t="s">
        <v>319</v>
      </c>
      <c r="K25" s="7" t="str">
        <f t="shared" si="1"/>
        <v>#REF!</v>
      </c>
      <c r="L25" s="7" t="s">
        <v>320</v>
      </c>
    </row>
    <row r="26" ht="15.75" customHeight="1">
      <c r="A26" s="7">
        <v>25.0</v>
      </c>
      <c r="B26" s="7" t="s">
        <v>485</v>
      </c>
      <c r="C26" s="7" t="s">
        <v>97</v>
      </c>
      <c r="D26" s="7" t="s">
        <v>83</v>
      </c>
      <c r="E26" s="7" t="s">
        <v>486</v>
      </c>
      <c r="F26" s="7" t="s">
        <v>487</v>
      </c>
      <c r="G26" s="7" t="s">
        <v>488</v>
      </c>
      <c r="H26" s="7" t="s">
        <v>490</v>
      </c>
      <c r="I26" s="7" t="s">
        <v>491</v>
      </c>
      <c r="J26" s="7" t="s">
        <v>319</v>
      </c>
      <c r="K26" s="7" t="str">
        <f t="shared" si="1"/>
        <v>#REF!</v>
      </c>
      <c r="L26" s="7" t="s">
        <v>320</v>
      </c>
    </row>
    <row r="27" ht="15.75" customHeight="1">
      <c r="A27" s="7">
        <v>26.0</v>
      </c>
      <c r="B27" s="7" t="s">
        <v>492</v>
      </c>
      <c r="C27" s="7" t="s">
        <v>106</v>
      </c>
      <c r="D27" s="7" t="s">
        <v>251</v>
      </c>
      <c r="E27" s="7" t="s">
        <v>493</v>
      </c>
      <c r="F27" s="7" t="s">
        <v>494</v>
      </c>
      <c r="G27" s="7" t="s">
        <v>495</v>
      </c>
      <c r="H27" s="7" t="s">
        <v>496</v>
      </c>
      <c r="I27" s="7" t="s">
        <v>497</v>
      </c>
      <c r="J27" s="7" t="s">
        <v>319</v>
      </c>
      <c r="K27" s="7" t="str">
        <f t="shared" si="1"/>
        <v>#REF!</v>
      </c>
      <c r="L27" s="7" t="s">
        <v>320</v>
      </c>
    </row>
    <row r="28" ht="15.75" customHeight="1">
      <c r="A28" s="7">
        <v>27.0</v>
      </c>
      <c r="B28" s="7" t="s">
        <v>498</v>
      </c>
      <c r="C28" s="7" t="s">
        <v>106</v>
      </c>
      <c r="D28" s="7" t="s">
        <v>112</v>
      </c>
      <c r="E28" s="7" t="s">
        <v>499</v>
      </c>
      <c r="F28" s="7" t="s">
        <v>500</v>
      </c>
      <c r="G28" s="7" t="s">
        <v>502</v>
      </c>
      <c r="H28" s="7" t="s">
        <v>503</v>
      </c>
      <c r="I28" s="7" t="s">
        <v>504</v>
      </c>
      <c r="J28" s="7" t="s">
        <v>319</v>
      </c>
      <c r="K28" s="7" t="str">
        <f t="shared" si="1"/>
        <v>#REF!</v>
      </c>
      <c r="L28" s="7" t="s">
        <v>320</v>
      </c>
    </row>
    <row r="29" ht="15.75" customHeight="1">
      <c r="A29" s="7">
        <v>28.0</v>
      </c>
      <c r="B29" s="7" t="s">
        <v>505</v>
      </c>
      <c r="C29" s="7" t="s">
        <v>155</v>
      </c>
      <c r="D29" s="7" t="s">
        <v>136</v>
      </c>
      <c r="E29" s="7" t="s">
        <v>506</v>
      </c>
      <c r="F29" s="7" t="s">
        <v>507</v>
      </c>
      <c r="G29" s="7" t="s">
        <v>508</v>
      </c>
      <c r="H29" s="7" t="s">
        <v>509</v>
      </c>
      <c r="I29" s="7" t="s">
        <v>510</v>
      </c>
      <c r="J29" s="7" t="s">
        <v>341</v>
      </c>
      <c r="K29" s="7" t="str">
        <f t="shared" si="1"/>
        <v>#REF!</v>
      </c>
      <c r="L29" s="7" t="s">
        <v>320</v>
      </c>
      <c r="M29" s="5"/>
      <c r="N29" s="5"/>
      <c r="O29" s="5"/>
      <c r="P29" s="5"/>
      <c r="Q29" s="5"/>
      <c r="R29" s="5"/>
      <c r="S29" s="5"/>
      <c r="T29" s="5"/>
      <c r="U29" s="5"/>
      <c r="V29" s="5"/>
      <c r="W29" s="5"/>
      <c r="X29" s="5"/>
      <c r="Y29" s="5"/>
      <c r="Z29" s="5"/>
    </row>
    <row r="30" ht="15.75" customHeight="1">
      <c r="A30" s="7">
        <v>29.0</v>
      </c>
      <c r="B30" s="7" t="s">
        <v>511</v>
      </c>
      <c r="C30" s="7" t="s">
        <v>128</v>
      </c>
      <c r="D30" s="7" t="s">
        <v>31</v>
      </c>
      <c r="E30" s="7" t="s">
        <v>512</v>
      </c>
      <c r="F30" s="7" t="s">
        <v>513</v>
      </c>
      <c r="G30" s="7" t="s">
        <v>514</v>
      </c>
      <c r="H30" s="7" t="s">
        <v>515</v>
      </c>
      <c r="I30" s="7" t="s">
        <v>516</v>
      </c>
      <c r="J30" s="7" t="s">
        <v>319</v>
      </c>
      <c r="K30" s="7" t="str">
        <f t="shared" si="1"/>
        <v>#REF!</v>
      </c>
      <c r="L30" s="7" t="s">
        <v>320</v>
      </c>
    </row>
    <row r="31" ht="15.75" customHeight="1">
      <c r="A31" s="7">
        <v>30.0</v>
      </c>
      <c r="B31" s="7" t="s">
        <v>517</v>
      </c>
      <c r="C31" s="7" t="s">
        <v>140</v>
      </c>
      <c r="D31" s="7" t="s">
        <v>134</v>
      </c>
      <c r="E31" s="7" t="s">
        <v>518</v>
      </c>
      <c r="F31" s="7" t="s">
        <v>519</v>
      </c>
      <c r="G31" s="7" t="s">
        <v>520</v>
      </c>
      <c r="H31" s="7" t="s">
        <v>521</v>
      </c>
      <c r="I31" s="7" t="s">
        <v>522</v>
      </c>
      <c r="J31" s="7" t="s">
        <v>341</v>
      </c>
      <c r="K31" s="7" t="str">
        <f t="shared" si="1"/>
        <v>#REF!</v>
      </c>
      <c r="L31" s="7" t="s">
        <v>320</v>
      </c>
      <c r="M31" s="5"/>
      <c r="N31" s="5"/>
      <c r="O31" s="5"/>
      <c r="P31" s="5"/>
      <c r="Q31" s="5"/>
      <c r="R31" s="5"/>
      <c r="S31" s="5"/>
      <c r="T31" s="5"/>
      <c r="U31" s="5"/>
      <c r="V31" s="5"/>
      <c r="W31" s="5"/>
      <c r="X31" s="5"/>
      <c r="Y31" s="5"/>
      <c r="Z31" s="5"/>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90.0"/>
    <col customWidth="1" min="3" max="6" width="8.63"/>
  </cols>
  <sheetData>
    <row r="1">
      <c r="A1" s="35" t="s">
        <v>362</v>
      </c>
    </row>
    <row r="2">
      <c r="A2" s="36" t="s">
        <v>2</v>
      </c>
      <c r="B2" s="7" t="s">
        <v>375</v>
      </c>
      <c r="C2" s="7"/>
      <c r="D2" s="7"/>
      <c r="E2" s="7"/>
    </row>
    <row r="3">
      <c r="A3" s="36" t="s">
        <v>377</v>
      </c>
      <c r="B3" s="7" t="s">
        <v>378</v>
      </c>
      <c r="C3" s="7"/>
      <c r="D3" s="7"/>
      <c r="E3" s="7"/>
    </row>
    <row r="4">
      <c r="A4" s="36" t="s">
        <v>384</v>
      </c>
      <c r="B4" s="7" t="s">
        <v>386</v>
      </c>
      <c r="C4" s="7"/>
      <c r="D4" s="7"/>
      <c r="E4" s="7"/>
    </row>
    <row r="5">
      <c r="A5" s="36" t="s">
        <v>387</v>
      </c>
      <c r="B5" s="7" t="s">
        <v>388</v>
      </c>
      <c r="C5" s="7"/>
      <c r="D5" s="7"/>
      <c r="E5" s="7"/>
    </row>
    <row r="6">
      <c r="A6" s="36" t="s">
        <v>41</v>
      </c>
      <c r="B6" s="7" t="s">
        <v>389</v>
      </c>
      <c r="C6" s="7"/>
      <c r="D6" s="7"/>
      <c r="E6" s="7"/>
    </row>
    <row r="7">
      <c r="A7" s="36" t="s">
        <v>392</v>
      </c>
      <c r="B7" s="7" t="s">
        <v>394</v>
      </c>
      <c r="C7" s="7"/>
      <c r="D7" s="7"/>
      <c r="E7" s="7"/>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E1"/>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37" t="s">
        <v>411</v>
      </c>
      <c r="F1" s="37" t="s">
        <v>414</v>
      </c>
      <c r="G1" s="37" t="s">
        <v>416</v>
      </c>
      <c r="H1" s="37" t="s">
        <v>418</v>
      </c>
    </row>
    <row r="2">
      <c r="A2" s="38" t="s">
        <v>421</v>
      </c>
      <c r="F2" s="39">
        <v>46235.0</v>
      </c>
      <c r="G2" s="40" t="s">
        <v>425</v>
      </c>
      <c r="H2" s="41"/>
    </row>
  </sheetData>
  <drawing r:id="rId1"/>
</worksheet>
</file>